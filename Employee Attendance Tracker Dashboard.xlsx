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SANDHYA\Desktop\"/>
    </mc:Choice>
  </mc:AlternateContent>
  <xr:revisionPtr revIDLastSave="0" documentId="13_ncr:1_{15E89598-58BF-43E0-8AD6-DE976322DFC2}" xr6:coauthVersionLast="47" xr6:coauthVersionMax="47" xr10:uidLastSave="{00000000-0000-0000-0000-000000000000}"/>
  <bookViews>
    <workbookView xWindow="-120" yWindow="-120" windowWidth="24240" windowHeight="13020" firstSheet="5" activeTab="7" xr2:uid="{8A914879-28F7-4F25-9300-28F6D3C5055B}"/>
  </bookViews>
  <sheets>
    <sheet name="ATTENDANCE_DATA" sheetId="2" r:id="rId1"/>
    <sheet name="MONTHLY_TREND" sheetId="12" r:id="rId2"/>
    <sheet name="DAILY_ATTENDANCE" sheetId="9" r:id="rId3"/>
    <sheet name="PUNCTUAL_EMPLOYEES" sheetId="3" r:id="rId4"/>
    <sheet name="PUNCTUAL_DEPARTMENTS" sheetId="7" r:id="rId5"/>
    <sheet name="MOST_ABSENT_DAY" sheetId="10" r:id="rId6"/>
    <sheet name="DEPARTMENT_ABSENTEEISM" sheetId="11" r:id="rId7"/>
    <sheet name="EMPLOYEE ATTENDANCE TRACKER BOA" sheetId="13" r:id="rId8"/>
  </sheets>
  <definedNames>
    <definedName name="Slicer_Date">#N/A</definedName>
    <definedName name="Slicer_Department">#N/A</definedName>
    <definedName name="Slicer_Statu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2" l="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alcChain>
</file>

<file path=xl/sharedStrings.xml><?xml version="1.0" encoding="utf-8"?>
<sst xmlns="http://schemas.openxmlformats.org/spreadsheetml/2006/main" count="2126" uniqueCount="70">
  <si>
    <t>2025-05-07</t>
  </si>
  <si>
    <t>Ismaila Camara</t>
  </si>
  <si>
    <t>IT</t>
  </si>
  <si>
    <t>Late</t>
  </si>
  <si>
    <t>2025-05-08</t>
  </si>
  <si>
    <t>Lamin Sowe</t>
  </si>
  <si>
    <t>Marketing</t>
  </si>
  <si>
    <t>Present</t>
  </si>
  <si>
    <t>2025-05-21</t>
  </si>
  <si>
    <t>Ousman Jatta</t>
  </si>
  <si>
    <t>2025-05-16</t>
  </si>
  <si>
    <t>Saffie Joof</t>
  </si>
  <si>
    <t>2025-05-05</t>
  </si>
  <si>
    <t>Awa Sanyang</t>
  </si>
  <si>
    <t>Finance</t>
  </si>
  <si>
    <t>2025-05-11</t>
  </si>
  <si>
    <t>Jainaba Ceesay</t>
  </si>
  <si>
    <t>2025-05-30</t>
  </si>
  <si>
    <t>2025-05-20</t>
  </si>
  <si>
    <t>2025-05-24</t>
  </si>
  <si>
    <t>On Leave</t>
  </si>
  <si>
    <t>2025-05-09</t>
  </si>
  <si>
    <t>2025-05-23</t>
  </si>
  <si>
    <t>Mariama Bah</t>
  </si>
  <si>
    <t>HR</t>
  </si>
  <si>
    <t>2025-05-25</t>
  </si>
  <si>
    <t>2025-05-18</t>
  </si>
  <si>
    <t>Modou Cham</t>
  </si>
  <si>
    <t>Operations</t>
  </si>
  <si>
    <t>2025-05-19</t>
  </si>
  <si>
    <t>Fatou Jobe</t>
  </si>
  <si>
    <t>2025-05-27</t>
  </si>
  <si>
    <t>2025-05-06</t>
  </si>
  <si>
    <t>2025-05-28</t>
  </si>
  <si>
    <t>2025-05-31</t>
  </si>
  <si>
    <t>2025-05-14</t>
  </si>
  <si>
    <t>2025-05-03</t>
  </si>
  <si>
    <t>Absent</t>
  </si>
  <si>
    <t>2025-05-01</t>
  </si>
  <si>
    <t>2025-05-15</t>
  </si>
  <si>
    <t>2025-05-02</t>
  </si>
  <si>
    <t>2025-05-12</t>
  </si>
  <si>
    <t>2025-05-13</t>
  </si>
  <si>
    <t>Ebrima Touray</t>
  </si>
  <si>
    <t>2025-05-10</t>
  </si>
  <si>
    <t>2025-05-26</t>
  </si>
  <si>
    <t>2025-05-17</t>
  </si>
  <si>
    <t>2025-05-29</t>
  </si>
  <si>
    <t>2025-05-04</t>
  </si>
  <si>
    <t>2025-05-22</t>
  </si>
  <si>
    <t>Date</t>
  </si>
  <si>
    <t>Employee Name</t>
  </si>
  <si>
    <t>Department</t>
  </si>
  <si>
    <t>Status</t>
  </si>
  <si>
    <t>Month</t>
  </si>
  <si>
    <t>Day</t>
  </si>
  <si>
    <t>Attendance_Value</t>
  </si>
  <si>
    <t>Row Labels</t>
  </si>
  <si>
    <t>Grand Total</t>
  </si>
  <si>
    <t>Count of Status</t>
  </si>
  <si>
    <t>Column Labels</t>
  </si>
  <si>
    <t>Sunday</t>
  </si>
  <si>
    <t>Monday</t>
  </si>
  <si>
    <t>Tuesday</t>
  </si>
  <si>
    <t>Wednesday</t>
  </si>
  <si>
    <t>Thursday</t>
  </si>
  <si>
    <t>Friday</t>
  </si>
  <si>
    <t>Saturday</t>
  </si>
  <si>
    <t>Count of Month</t>
  </si>
  <si>
    <t>EMPLOYEE ATTENDANCE TRACKER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</si>
</sst>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theme="1" tint="4.9989318521683403E-2"/>
      <name val="Bahnschrift SemiBold"/>
      <family val="2"/>
    </font>
    <font>
      <sz val="14"/>
      <color theme="1" tint="4.9989318521683403E-2"/>
      <name val="Bahnschrift SemiBold"/>
      <family val="2"/>
    </font>
    <font>
      <b/>
      <sz val="16"/>
      <color theme="1" tint="4.9989318521683403E-2"/>
      <name val="Bahnschrift SemiBold"/>
      <family val="2"/>
    </font>
    <font>
      <b/>
      <sz val="18"/>
      <color theme="0"/>
      <name val="Arial Rounded MT Bold"/>
      <family val="2"/>
    </font>
    <font>
      <sz val="16"/>
      <color theme="1"/>
      <name val="Bahnschrift SemiBold"/>
      <family val="2"/>
    </font>
  </fonts>
  <fills count="3">
    <fill>
      <patternFill patternType="none"/>
    </fill>
    <fill>
      <patternFill patternType="gray125"/>
    </fill>
    <fill>
      <patternFill patternType="solid">
        <fgColor theme="4" tint="0.39997558519241921"/>
        <bgColor indexed="64"/>
      </patternFill>
    </fill>
  </fills>
  <borders count="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s>
  <cellStyleXfs count="1">
    <xf numFmtId="0" fontId="0" fillId="0" borderId="0"/>
  </cellStyleXfs>
  <cellXfs count="21">
    <xf numFmtId="0" fontId="0" fillId="0" borderId="0" xfId="0"/>
    <xf numFmtId="0" fontId="0" fillId="0" borderId="1" xfId="0" applyBorder="1"/>
    <xf numFmtId="0" fontId="1" fillId="0" borderId="1" xfId="0" pivotButton="1" applyFont="1" applyBorder="1"/>
    <xf numFmtId="0" fontId="1" fillId="0" borderId="1" xfId="0" applyFont="1" applyBorder="1"/>
    <xf numFmtId="0" fontId="1" fillId="0" borderId="1" xfId="0" applyFont="1" applyBorder="1" applyAlignment="1">
      <alignment horizontal="left"/>
    </xf>
    <xf numFmtId="0" fontId="2" fillId="0" borderId="1" xfId="0" pivotButton="1" applyFont="1" applyBorder="1"/>
    <xf numFmtId="0" fontId="2" fillId="0" borderId="1" xfId="0" applyFont="1" applyBorder="1"/>
    <xf numFmtId="0" fontId="2" fillId="0" borderId="1" xfId="0" applyFont="1" applyBorder="1" applyAlignment="1">
      <alignment horizontal="left"/>
    </xf>
    <xf numFmtId="0" fontId="3" fillId="0" borderId="1" xfId="0" pivotButton="1" applyFont="1" applyBorder="1"/>
    <xf numFmtId="0" fontId="3" fillId="0" borderId="1" xfId="0" applyFont="1" applyBorder="1"/>
    <xf numFmtId="0" fontId="3" fillId="0" borderId="1" xfId="0" applyFont="1" applyBorder="1" applyAlignment="1">
      <alignment horizontal="left"/>
    </xf>
    <xf numFmtId="0" fontId="1" fillId="0" borderId="2" xfId="0" applyFont="1" applyBorder="1"/>
    <xf numFmtId="0" fontId="1" fillId="0" borderId="4" xfId="0" applyFont="1" applyBorder="1"/>
    <xf numFmtId="0" fontId="1" fillId="0" borderId="2" xfId="0" applyFont="1" applyBorder="1" applyAlignment="1">
      <alignment horizontal="left"/>
    </xf>
    <xf numFmtId="0" fontId="1" fillId="0" borderId="3" xfId="0" applyFont="1" applyBorder="1" applyAlignment="1">
      <alignment horizontal="left"/>
    </xf>
    <xf numFmtId="0" fontId="1" fillId="0" borderId="3" xfId="0" applyFont="1" applyBorder="1"/>
    <xf numFmtId="0" fontId="1" fillId="0" borderId="4" xfId="0" applyFont="1" applyBorder="1" applyAlignment="1">
      <alignment horizontal="left"/>
    </xf>
    <xf numFmtId="0" fontId="4" fillId="2" borderId="1" xfId="0" applyFont="1" applyFill="1" applyBorder="1" applyAlignment="1">
      <alignment horizontal="center"/>
    </xf>
    <xf numFmtId="0" fontId="0" fillId="2" borderId="1" xfId="0" applyFill="1" applyBorder="1" applyAlignment="1">
      <alignment horizontal="center"/>
    </xf>
    <xf numFmtId="0" fontId="5" fillId="0" borderId="1" xfId="0" applyFont="1" applyBorder="1" applyAlignment="1">
      <alignment horizontal="center" vertical="top"/>
    </xf>
    <xf numFmtId="0" fontId="5" fillId="0" borderId="1" xfId="0" applyFont="1" applyBorder="1"/>
  </cellXfs>
  <cellStyles count="1">
    <cellStyle name="Normal" xfId="0" builtinId="0"/>
  </cellStyles>
  <dxfs count="210">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b/>
      </font>
    </dxf>
    <dxf>
      <font>
        <b/>
      </font>
    </dxf>
    <dxf>
      <font>
        <b/>
      </font>
    </dxf>
    <dxf>
      <font>
        <b/>
      </font>
    </dxf>
    <dxf>
      <font>
        <b/>
      </font>
    </dxf>
    <dxf>
      <font>
        <b/>
      </font>
    </dxf>
    <dxf>
      <font>
        <b/>
      </font>
    </dxf>
    <dxf>
      <font>
        <sz val="16"/>
      </font>
    </dxf>
    <dxf>
      <font>
        <sz val="16"/>
      </font>
    </dxf>
    <dxf>
      <font>
        <sz val="16"/>
      </font>
    </dxf>
    <dxf>
      <font>
        <sz val="16"/>
      </font>
    </dxf>
    <dxf>
      <font>
        <sz val="16"/>
      </font>
    </dxf>
    <dxf>
      <font>
        <sz val="16"/>
      </font>
    </dxf>
    <dxf>
      <font>
        <sz val="16"/>
      </font>
    </dxf>
    <dxf>
      <font>
        <b val="0"/>
        <strike val="0"/>
        <outline val="0"/>
        <shadow val="0"/>
        <u val="none"/>
        <vertAlign val="baseline"/>
        <sz val="16"/>
        <color theme="1"/>
        <name val="Bahnschrift SemiBold"/>
        <family val="2"/>
        <scheme val="none"/>
      </font>
    </dxf>
    <dxf>
      <font>
        <b val="0"/>
        <i val="0"/>
        <strike val="0"/>
        <condense val="0"/>
        <extend val="0"/>
        <outline val="0"/>
        <shadow val="0"/>
        <u val="none"/>
        <vertAlign val="baseline"/>
        <sz val="16"/>
        <color theme="1"/>
        <name val="Bahnschrift SemiBold"/>
        <family val="2"/>
        <scheme val="none"/>
      </font>
      <alignment horizontal="center" vertical="top" textRotation="0" wrapText="0" indent="0" justifyLastLine="0" shrinkToFit="0" readingOrder="0"/>
      <border diagonalUp="0" diagonalDown="0" outline="0">
        <left style="thin">
          <color theme="0"/>
        </left>
        <right style="thin">
          <color theme="0"/>
        </right>
        <top/>
        <bottom/>
      </border>
    </dxf>
    <dxf>
      <font>
        <b val="0"/>
        <strike val="0"/>
        <outline val="0"/>
        <shadow val="0"/>
        <u val="none"/>
        <vertAlign val="baseline"/>
        <sz val="16"/>
        <color theme="1"/>
        <name val="Bahnschrift SemiBold"/>
        <family val="2"/>
        <scheme val="none"/>
      </font>
      <numFmt numFmtId="0" formatCode="General"/>
      <border diagonalUp="0" diagonalDown="0" outline="0">
        <left style="thin">
          <color theme="0"/>
        </left>
        <right/>
        <top style="thin">
          <color theme="0"/>
        </top>
        <bottom style="thin">
          <color theme="0"/>
        </bottom>
      </border>
    </dxf>
    <dxf>
      <font>
        <b val="0"/>
        <strike val="0"/>
        <outline val="0"/>
        <shadow val="0"/>
        <u val="none"/>
        <vertAlign val="baseline"/>
        <sz val="16"/>
        <color theme="1"/>
        <name val="Bahnschrift SemiBold"/>
        <family val="2"/>
        <scheme val="none"/>
      </font>
      <numFmt numFmtId="0" formatCode="General"/>
      <border diagonalUp="0" diagonalDown="0" outline="0">
        <left style="thin">
          <color theme="0"/>
        </left>
        <right style="thin">
          <color theme="0"/>
        </right>
        <top style="thin">
          <color theme="0"/>
        </top>
        <bottom style="thin">
          <color theme="0"/>
        </bottom>
      </border>
    </dxf>
    <dxf>
      <font>
        <b val="0"/>
        <strike val="0"/>
        <outline val="0"/>
        <shadow val="0"/>
        <u val="none"/>
        <vertAlign val="baseline"/>
        <sz val="16"/>
        <color theme="1"/>
        <name val="Bahnschrift SemiBold"/>
        <family val="2"/>
        <scheme val="none"/>
      </font>
      <numFmt numFmtId="0" formatCode="General"/>
      <border diagonalUp="0" diagonalDown="0" outline="0">
        <left style="thin">
          <color theme="0"/>
        </left>
        <right style="thin">
          <color theme="0"/>
        </right>
        <top style="thin">
          <color theme="0"/>
        </top>
        <bottom style="thin">
          <color theme="0"/>
        </bottom>
      </border>
    </dxf>
    <dxf>
      <font>
        <b val="0"/>
        <strike val="0"/>
        <outline val="0"/>
        <shadow val="0"/>
        <u val="none"/>
        <vertAlign val="baseline"/>
        <sz val="16"/>
        <color theme="1"/>
        <name val="Bahnschrift SemiBold"/>
        <family val="2"/>
        <scheme val="none"/>
      </font>
      <border diagonalUp="0" diagonalDown="0" outline="0">
        <left style="thin">
          <color theme="0"/>
        </left>
        <right style="thin">
          <color theme="0"/>
        </right>
        <top style="thin">
          <color theme="0"/>
        </top>
        <bottom style="thin">
          <color theme="0"/>
        </bottom>
      </border>
    </dxf>
    <dxf>
      <font>
        <b val="0"/>
        <strike val="0"/>
        <outline val="0"/>
        <shadow val="0"/>
        <u val="none"/>
        <vertAlign val="baseline"/>
        <sz val="16"/>
        <color theme="1"/>
        <name val="Bahnschrift SemiBold"/>
        <family val="2"/>
        <scheme val="none"/>
      </font>
      <border diagonalUp="0" diagonalDown="0" outline="0">
        <left style="thin">
          <color theme="0"/>
        </left>
        <right style="thin">
          <color theme="0"/>
        </right>
        <top style="thin">
          <color theme="0"/>
        </top>
        <bottom style="thin">
          <color theme="0"/>
        </bottom>
      </border>
    </dxf>
    <dxf>
      <font>
        <b val="0"/>
        <strike val="0"/>
        <outline val="0"/>
        <shadow val="0"/>
        <u val="none"/>
        <vertAlign val="baseline"/>
        <sz val="16"/>
        <color theme="1"/>
        <name val="Bahnschrift SemiBold"/>
        <family val="2"/>
        <scheme val="none"/>
      </font>
      <border diagonalUp="0" diagonalDown="0" outline="0">
        <left style="thin">
          <color theme="0"/>
        </left>
        <right style="thin">
          <color theme="0"/>
        </right>
        <top style="thin">
          <color theme="0"/>
        </top>
        <bottom style="thin">
          <color theme="0"/>
        </bottom>
      </border>
    </dxf>
    <dxf>
      <font>
        <b val="0"/>
        <strike val="0"/>
        <outline val="0"/>
        <shadow val="0"/>
        <u val="none"/>
        <vertAlign val="baseline"/>
        <sz val="16"/>
        <color theme="1"/>
        <name val="Bahnschrift SemiBold"/>
        <family val="2"/>
        <scheme val="none"/>
      </font>
      <border diagonalUp="0" diagonalDown="0" outline="0">
        <left/>
        <right style="thin">
          <color theme="0"/>
        </right>
        <top style="thin">
          <color theme="0"/>
        </top>
        <bottom style="thin">
          <color theme="0"/>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b/>
      </font>
    </dxf>
    <dxf>
      <font>
        <b/>
      </font>
    </dxf>
    <dxf>
      <font>
        <b/>
      </font>
    </dxf>
    <dxf>
      <font>
        <b/>
      </font>
    </dxf>
    <dxf>
      <font>
        <b/>
      </font>
    </dxf>
    <dxf>
      <font>
        <b/>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sz val="16"/>
      </font>
    </dxf>
    <dxf>
      <font>
        <sz val="16"/>
      </font>
    </dxf>
    <dxf>
      <font>
        <sz val="16"/>
      </font>
    </dxf>
    <dxf>
      <font>
        <sz val="16"/>
      </font>
    </dxf>
    <dxf>
      <font>
        <sz val="16"/>
      </font>
    </dxf>
    <dxf>
      <font>
        <sz val="16"/>
      </font>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b/>
      </font>
    </dxf>
    <dxf>
      <font>
        <b/>
      </font>
    </dxf>
    <dxf>
      <font>
        <b/>
      </font>
    </dxf>
    <dxf>
      <font>
        <b/>
      </font>
    </dxf>
    <dxf>
      <font>
        <b/>
      </font>
    </dxf>
    <dxf>
      <font>
        <b/>
      </font>
    </dxf>
    <dxf>
      <font>
        <sz val="16"/>
      </font>
    </dxf>
    <dxf>
      <font>
        <sz val="16"/>
      </font>
    </dxf>
    <dxf>
      <font>
        <sz val="16"/>
      </font>
    </dxf>
    <dxf>
      <font>
        <sz val="16"/>
      </font>
    </dxf>
    <dxf>
      <font>
        <sz val="16"/>
      </font>
    </dxf>
    <dxf>
      <font>
        <sz val="16"/>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sz val="14"/>
      </font>
    </dxf>
    <dxf>
      <font>
        <sz val="14"/>
      </font>
    </dxf>
    <dxf>
      <font>
        <sz val="14"/>
      </font>
    </dxf>
    <dxf>
      <font>
        <sz val="14"/>
      </font>
    </dxf>
    <dxf>
      <font>
        <sz val="14"/>
      </font>
    </dxf>
    <dxf>
      <font>
        <sz val="14"/>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b/>
      </font>
    </dxf>
    <dxf>
      <font>
        <b/>
      </font>
    </dxf>
    <dxf>
      <font>
        <b/>
      </font>
    </dxf>
    <dxf>
      <font>
        <b/>
      </font>
    </dxf>
    <dxf>
      <font>
        <b/>
      </font>
    </dxf>
    <dxf>
      <font>
        <b/>
      </font>
    </dxf>
    <dxf>
      <font>
        <b/>
      </font>
    </dxf>
    <dxf>
      <font>
        <b/>
      </font>
    </dxf>
    <dxf>
      <font>
        <b/>
      </font>
    </dxf>
    <dxf>
      <font>
        <b/>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border>
        <left style="thin">
          <color theme="0"/>
        </left>
        <right style="thin">
          <color theme="0"/>
        </right>
        <top style="thin">
          <color theme="0"/>
        </top>
        <bottom style="thin">
          <color theme="0"/>
        </bottom>
        <vertical style="thin">
          <color theme="0"/>
        </vertical>
      </border>
    </dxf>
    <dxf>
      <border>
        <left style="thin">
          <color theme="0"/>
        </left>
        <right style="thin">
          <color theme="0"/>
        </right>
        <top style="thin">
          <color theme="0"/>
        </top>
        <bottom style="thin">
          <color theme="0"/>
        </bottom>
        <vertical style="thin">
          <color theme="0"/>
        </vertical>
      </border>
    </dxf>
    <dxf>
      <border>
        <left style="thin">
          <color theme="0"/>
        </left>
        <right style="thin">
          <color theme="0"/>
        </right>
        <top style="thin">
          <color theme="0"/>
        </top>
        <bottom style="thin">
          <color theme="0"/>
        </bottom>
        <vertical style="thin">
          <color theme="0"/>
        </vertical>
      </border>
    </dxf>
    <dxf>
      <border>
        <left style="thin">
          <color theme="0"/>
        </left>
        <right style="thin">
          <color theme="0"/>
        </right>
        <top style="thin">
          <color theme="0"/>
        </top>
        <bottom style="thin">
          <color theme="0"/>
        </bottom>
        <vertical style="thin">
          <color theme="0"/>
        </vertical>
      </border>
    </dxf>
    <dxf>
      <border>
        <left style="thin">
          <color theme="0"/>
        </left>
        <right style="thin">
          <color theme="0"/>
        </right>
        <top style="thin">
          <color theme="0"/>
        </top>
        <bottom style="thin">
          <color theme="0"/>
        </bottom>
        <vertical style="thin">
          <color theme="0"/>
        </vertical>
      </border>
    </dxf>
    <dxf>
      <border>
        <left style="thin">
          <color theme="0"/>
        </left>
        <right style="thin">
          <color theme="0"/>
        </right>
        <top style="thin">
          <color theme="0"/>
        </top>
        <bottom style="thin">
          <color theme="0"/>
        </bottom>
        <vertical style="thin">
          <color theme="0"/>
        </vertical>
      </border>
    </dxf>
    <dxf>
      <border>
        <left style="thin">
          <color theme="0"/>
        </left>
        <right style="thin">
          <color theme="0"/>
        </right>
        <top style="thin">
          <color theme="0"/>
        </top>
        <bottom style="thin">
          <color theme="0"/>
        </bottom>
        <vertical style="thin">
          <color theme="0"/>
        </vertical>
      </border>
    </dxf>
    <dxf>
      <border>
        <left style="thin">
          <color theme="0"/>
        </left>
        <right style="thin">
          <color theme="0"/>
        </right>
        <top style="thin">
          <color theme="0"/>
        </top>
        <bottom style="thin">
          <color theme="0"/>
        </bottom>
        <vertical style="thin">
          <color theme="0"/>
        </vertical>
      </border>
    </dxf>
    <dxf>
      <border>
        <left style="thin">
          <color theme="0"/>
        </left>
        <right style="thin">
          <color theme="0"/>
        </right>
        <top style="thin">
          <color theme="0"/>
        </top>
        <bottom style="thin">
          <color theme="0"/>
        </bottom>
        <vertical style="thin">
          <color theme="0"/>
        </vertical>
      </border>
    </dxf>
    <dxf>
      <border>
        <left style="thin">
          <color theme="0"/>
        </left>
        <right style="thin">
          <color theme="0"/>
        </right>
        <top style="thin">
          <color theme="0"/>
        </top>
        <bottom style="thin">
          <color theme="0"/>
        </bottom>
        <vertical style="thin">
          <color theme="0"/>
        </vertic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s>
  <tableStyles count="0" defaultTableStyle="TableStyleMedium2" defaultPivotStyle="PivotStyleLight16"/>
  <colors>
    <mruColors>
      <color rgb="FFB4C6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Attendance Tracker Dashboard.xlsx]MONTHLY_TREND!PivotTable3</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spc="0" baseline="0">
                <a:solidFill>
                  <a:sysClr val="windowText" lastClr="000000">
                    <a:lumMod val="65000"/>
                    <a:lumOff val="35000"/>
                  </a:sysClr>
                </a:solidFill>
                <a:latin typeface="Arial Rounded MT Bold" panose="020F0704030504030204" pitchFamily="34" charset="0"/>
                <a:ea typeface="+mn-ea"/>
                <a:cs typeface="+mn-cs"/>
              </a:defRPr>
            </a:pPr>
            <a:r>
              <a:rPr lang="en-IN" sz="2000" b="1">
                <a:effectLst/>
                <a:latin typeface="Arial Rounded MT Bold" panose="020F0704030504030204" pitchFamily="34" charset="0"/>
              </a:rPr>
              <a:t>MONTHLY ATTENDANCE TREND</a:t>
            </a:r>
          </a:p>
          <a:p>
            <a:pPr marL="0" marR="0" lvl="0" indent="0" algn="ctr" defTabSz="914400" rtl="0" eaLnBrk="1" fontAlgn="auto" latinLnBrk="0" hangingPunct="1">
              <a:lnSpc>
                <a:spcPct val="100000"/>
              </a:lnSpc>
              <a:spcBef>
                <a:spcPts val="0"/>
              </a:spcBef>
              <a:spcAft>
                <a:spcPts val="0"/>
              </a:spcAft>
              <a:buClrTx/>
              <a:buSzTx/>
              <a:buFontTx/>
              <a:buNone/>
              <a:tabLst/>
              <a:defRPr sz="2000" b="1">
                <a:solidFill>
                  <a:sysClr val="windowText" lastClr="000000">
                    <a:lumMod val="65000"/>
                    <a:lumOff val="35000"/>
                  </a:sysClr>
                </a:solidFill>
                <a:latin typeface="Arial Rounded MT Bold" panose="020F0704030504030204" pitchFamily="34" charset="0"/>
              </a:defRPr>
            </a:pPr>
            <a:endParaRPr lang="en-US" sz="2000" b="1">
              <a:latin typeface="Arial Rounded MT Bold" panose="020F0704030504030204" pitchFamily="34" charset="0"/>
            </a:endParaRPr>
          </a:p>
        </c:rich>
      </c:tx>
      <c:layout>
        <c:manualLayout>
          <c:xMode val="edge"/>
          <c:yMode val="edge"/>
          <c:x val="0.15052822119471496"/>
          <c:y val="4.915512214757567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spc="0" baseline="0">
              <a:solidFill>
                <a:sysClr val="windowText" lastClr="000000">
                  <a:lumMod val="65000"/>
                  <a:lumOff val="35000"/>
                </a:sysClr>
              </a:solidFill>
              <a:latin typeface="Arial Rounded MT Bold" panose="020F0704030504030204" pitchFamily="34" charset="0"/>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75534747786096E-2"/>
          <c:y val="0.14924809308094528"/>
          <c:w val="0.91596184447772977"/>
          <c:h val="0.60759085392187895"/>
        </c:manualLayout>
      </c:layout>
      <c:lineChart>
        <c:grouping val="stacked"/>
        <c:varyColors val="0"/>
        <c:ser>
          <c:idx val="0"/>
          <c:order val="0"/>
          <c:tx>
            <c:strRef>
              <c:f>MONTHLY_TREND!$B$3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MONTHLY_TREND!$A$4:$A$34</c:f>
              <c:strCache>
                <c:ptCount val="30"/>
                <c:pt idx="0">
                  <c:v>2025-05-06</c:v>
                </c:pt>
                <c:pt idx="1">
                  <c:v>2025-05-03</c:v>
                </c:pt>
                <c:pt idx="2">
                  <c:v>2025-05-12</c:v>
                </c:pt>
                <c:pt idx="3">
                  <c:v>2025-05-28</c:v>
                </c:pt>
                <c:pt idx="4">
                  <c:v>2025-05-25</c:v>
                </c:pt>
                <c:pt idx="5">
                  <c:v>2025-05-20</c:v>
                </c:pt>
                <c:pt idx="6">
                  <c:v>2025-05-17</c:v>
                </c:pt>
                <c:pt idx="7">
                  <c:v>2025-05-07</c:v>
                </c:pt>
                <c:pt idx="8">
                  <c:v>2025-05-10</c:v>
                </c:pt>
                <c:pt idx="9">
                  <c:v>2025-05-27</c:v>
                </c:pt>
                <c:pt idx="10">
                  <c:v>2025-05-19</c:v>
                </c:pt>
                <c:pt idx="11">
                  <c:v>2025-05-09</c:v>
                </c:pt>
                <c:pt idx="12">
                  <c:v>2025-05-11</c:v>
                </c:pt>
                <c:pt idx="13">
                  <c:v>2025-05-18</c:v>
                </c:pt>
                <c:pt idx="14">
                  <c:v>2025-05-04</c:v>
                </c:pt>
                <c:pt idx="15">
                  <c:v>2025-05-23</c:v>
                </c:pt>
                <c:pt idx="16">
                  <c:v>2025-05-21</c:v>
                </c:pt>
                <c:pt idx="17">
                  <c:v>2025-05-01</c:v>
                </c:pt>
                <c:pt idx="18">
                  <c:v>2025-05-24</c:v>
                </c:pt>
                <c:pt idx="19">
                  <c:v>2025-05-16</c:v>
                </c:pt>
                <c:pt idx="20">
                  <c:v>2025-05-05</c:v>
                </c:pt>
                <c:pt idx="21">
                  <c:v>2025-05-13</c:v>
                </c:pt>
                <c:pt idx="22">
                  <c:v>2025-05-14</c:v>
                </c:pt>
                <c:pt idx="23">
                  <c:v>2025-05-15</c:v>
                </c:pt>
                <c:pt idx="24">
                  <c:v>2025-05-02</c:v>
                </c:pt>
                <c:pt idx="25">
                  <c:v>2025-05-30</c:v>
                </c:pt>
                <c:pt idx="26">
                  <c:v>2025-05-29</c:v>
                </c:pt>
                <c:pt idx="27">
                  <c:v>2025-05-26</c:v>
                </c:pt>
                <c:pt idx="28">
                  <c:v>2025-05-22</c:v>
                </c:pt>
                <c:pt idx="29">
                  <c:v>2025-05-08</c:v>
                </c:pt>
              </c:strCache>
            </c:strRef>
          </c:cat>
          <c:val>
            <c:numRef>
              <c:f>MONTHLY_TREND!$B$4:$B$34</c:f>
              <c:numCache>
                <c:formatCode>General</c:formatCode>
                <c:ptCount val="30"/>
                <c:pt idx="0">
                  <c:v>7</c:v>
                </c:pt>
                <c:pt idx="1">
                  <c:v>5</c:v>
                </c:pt>
                <c:pt idx="2">
                  <c:v>5</c:v>
                </c:pt>
                <c:pt idx="3">
                  <c:v>5</c:v>
                </c:pt>
                <c:pt idx="4">
                  <c:v>4</c:v>
                </c:pt>
                <c:pt idx="5">
                  <c:v>4</c:v>
                </c:pt>
                <c:pt idx="6">
                  <c:v>4</c:v>
                </c:pt>
                <c:pt idx="7">
                  <c:v>4</c:v>
                </c:pt>
                <c:pt idx="8">
                  <c:v>4</c:v>
                </c:pt>
                <c:pt idx="9">
                  <c:v>4</c:v>
                </c:pt>
                <c:pt idx="10">
                  <c:v>3</c:v>
                </c:pt>
                <c:pt idx="11">
                  <c:v>3</c:v>
                </c:pt>
                <c:pt idx="12">
                  <c:v>3</c:v>
                </c:pt>
                <c:pt idx="13">
                  <c:v>3</c:v>
                </c:pt>
                <c:pt idx="14">
                  <c:v>2</c:v>
                </c:pt>
                <c:pt idx="15">
                  <c:v>2</c:v>
                </c:pt>
                <c:pt idx="16">
                  <c:v>2</c:v>
                </c:pt>
                <c:pt idx="17">
                  <c:v>2</c:v>
                </c:pt>
                <c:pt idx="18">
                  <c:v>2</c:v>
                </c:pt>
                <c:pt idx="19">
                  <c:v>2</c:v>
                </c:pt>
                <c:pt idx="20">
                  <c:v>2</c:v>
                </c:pt>
                <c:pt idx="21">
                  <c:v>2</c:v>
                </c:pt>
                <c:pt idx="22">
                  <c:v>2</c:v>
                </c:pt>
                <c:pt idx="23">
                  <c:v>2</c:v>
                </c:pt>
                <c:pt idx="24">
                  <c:v>1</c:v>
                </c:pt>
                <c:pt idx="25">
                  <c:v>1</c:v>
                </c:pt>
                <c:pt idx="26">
                  <c:v>1</c:v>
                </c:pt>
                <c:pt idx="27">
                  <c:v>1</c:v>
                </c:pt>
                <c:pt idx="28">
                  <c:v>1</c:v>
                </c:pt>
                <c:pt idx="29">
                  <c:v>1</c:v>
                </c:pt>
              </c:numCache>
            </c:numRef>
          </c:val>
          <c:smooth val="0"/>
          <c:extLst>
            <c:ext xmlns:c16="http://schemas.microsoft.com/office/drawing/2014/chart" uri="{C3380CC4-5D6E-409C-BE32-E72D297353CC}">
              <c16:uniqueId val="{00000000-D071-42B7-B7E2-ACEB22BEF969}"/>
            </c:ext>
          </c:extLst>
        </c:ser>
        <c:dLbls>
          <c:showLegendKey val="0"/>
          <c:showVal val="0"/>
          <c:showCatName val="0"/>
          <c:showSerName val="0"/>
          <c:showPercent val="0"/>
          <c:showBubbleSize val="0"/>
        </c:dLbls>
        <c:marker val="1"/>
        <c:smooth val="0"/>
        <c:axId val="1051021503"/>
        <c:axId val="1051019583"/>
      </c:lineChart>
      <c:catAx>
        <c:axId val="105102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Bahnschrift SemiBold" panose="020B0502040204020203" pitchFamily="34" charset="0"/>
                <a:ea typeface="+mn-ea"/>
                <a:cs typeface="+mn-cs"/>
              </a:defRPr>
            </a:pPr>
            <a:endParaRPr lang="en-US"/>
          </a:p>
        </c:txPr>
        <c:crossAx val="1051019583"/>
        <c:crosses val="autoZero"/>
        <c:auto val="1"/>
        <c:lblAlgn val="ctr"/>
        <c:lblOffset val="100"/>
        <c:noMultiLvlLbl val="0"/>
      </c:catAx>
      <c:valAx>
        <c:axId val="1051019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Bahnschrift SemiBold" panose="020B0502040204020203" pitchFamily="34" charset="0"/>
                <a:ea typeface="+mn-ea"/>
                <a:cs typeface="+mn-cs"/>
              </a:defRPr>
            </a:pPr>
            <a:endParaRPr lang="en-US"/>
          </a:p>
        </c:txPr>
        <c:crossAx val="105102150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rnd" cmpd="sng" algn="ctr">
      <a:solidFill>
        <a:schemeClr val="bg1">
          <a:lumMod val="50000"/>
          <a:alpha val="93000"/>
        </a:schemeClr>
      </a:solidFill>
      <a:round/>
    </a:ln>
    <a:effectLst>
      <a:glow rad="139700">
        <a:schemeClr val="bg1">
          <a:lumMod val="50000"/>
        </a:schemeClr>
      </a:glow>
      <a:innerShdw blurRad="114300">
        <a:schemeClr val="bg1">
          <a:lumMod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[Employee Attendance Tracker Dashboard.xlsx]DAILY_ATTENDANCE!PivotTable1</c:name>
    <c:fmtId val="6"/>
  </c:pivotSource>
  <c:chart>
    <c:title>
      <c:tx>
        <c:rich>
          <a:bodyPr rot="0" spcFirstLastPara="1" vertOverflow="ellipsis" vert="horz" wrap="square" anchor="ctr" anchorCtr="1"/>
          <a:lstStyle/>
          <a:p>
            <a:pPr algn="ctr">
              <a:defRPr sz="2000" b="1" i="0" u="none" strike="noStrike" kern="1200" baseline="0">
                <a:solidFill>
                  <a:schemeClr val="tx2"/>
                </a:solidFill>
                <a:latin typeface="+mn-lt"/>
                <a:ea typeface="+mn-ea"/>
                <a:cs typeface="+mn-cs"/>
              </a:defRPr>
            </a:pPr>
            <a:r>
              <a:rPr lang="en-IN" sz="2000" b="1" i="0" u="none" strike="noStrike" baseline="0"/>
              <a:t>DAILY ATTENDANCE OVERVIEW</a:t>
            </a:r>
            <a:endParaRPr lang="en-IN" sz="2000" baseline="0"/>
          </a:p>
        </c:rich>
      </c:tx>
      <c:layout>
        <c:manualLayout>
          <c:xMode val="edge"/>
          <c:yMode val="edge"/>
          <c:x val="0.26937522519143575"/>
          <c:y val="4.3290043290043288E-2"/>
        </c:manualLayout>
      </c:layout>
      <c:overlay val="0"/>
      <c:spPr>
        <a:noFill/>
        <a:ln>
          <a:noFill/>
        </a:ln>
        <a:effectLst/>
      </c:spPr>
      <c:txPr>
        <a:bodyPr rot="0" spcFirstLastPara="1" vertOverflow="ellipsis" vert="horz" wrap="square" anchor="ctr" anchorCtr="1"/>
        <a:lstStyle/>
        <a:p>
          <a:pPr algn="ctr">
            <a:defRPr sz="20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DAILY_ATTENDANCE!$B$2:$B$3</c:f>
              <c:strCache>
                <c:ptCount val="1"/>
                <c:pt idx="0">
                  <c:v>Late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invertIfNegative val="0"/>
          <c:cat>
            <c:strRef>
              <c:f>DAILY_ATTENDANCE!$A$4:$A$34</c:f>
              <c:strCache>
                <c:ptCount val="30"/>
                <c:pt idx="0">
                  <c:v>2025-05-01</c:v>
                </c:pt>
                <c:pt idx="1">
                  <c:v>2025-05-02</c:v>
                </c:pt>
                <c:pt idx="2">
                  <c:v>2025-05-03</c:v>
                </c:pt>
                <c:pt idx="3">
                  <c:v>2025-05-04</c:v>
                </c:pt>
                <c:pt idx="4">
                  <c:v>2025-05-05</c:v>
                </c:pt>
                <c:pt idx="5">
                  <c:v>2025-05-06</c:v>
                </c:pt>
                <c:pt idx="6">
                  <c:v>2025-05-07</c:v>
                </c:pt>
                <c:pt idx="7">
                  <c:v>2025-05-08</c:v>
                </c:pt>
                <c:pt idx="8">
                  <c:v>2025-05-09</c:v>
                </c:pt>
                <c:pt idx="9">
                  <c:v>2025-05-10</c:v>
                </c:pt>
                <c:pt idx="10">
                  <c:v>2025-05-11</c:v>
                </c:pt>
                <c:pt idx="11">
                  <c:v>2025-05-12</c:v>
                </c:pt>
                <c:pt idx="12">
                  <c:v>2025-05-13</c:v>
                </c:pt>
                <c:pt idx="13">
                  <c:v>2025-05-14</c:v>
                </c:pt>
                <c:pt idx="14">
                  <c:v>2025-05-15</c:v>
                </c:pt>
                <c:pt idx="15">
                  <c:v>2025-05-16</c:v>
                </c:pt>
                <c:pt idx="16">
                  <c:v>2025-05-17</c:v>
                </c:pt>
                <c:pt idx="17">
                  <c:v>2025-05-18</c:v>
                </c:pt>
                <c:pt idx="18">
                  <c:v>2025-05-19</c:v>
                </c:pt>
                <c:pt idx="19">
                  <c:v>2025-05-20</c:v>
                </c:pt>
                <c:pt idx="20">
                  <c:v>2025-05-21</c:v>
                </c:pt>
                <c:pt idx="21">
                  <c:v>2025-05-22</c:v>
                </c:pt>
                <c:pt idx="22">
                  <c:v>2025-05-23</c:v>
                </c:pt>
                <c:pt idx="23">
                  <c:v>2025-05-24</c:v>
                </c:pt>
                <c:pt idx="24">
                  <c:v>2025-05-25</c:v>
                </c:pt>
                <c:pt idx="25">
                  <c:v>2025-05-26</c:v>
                </c:pt>
                <c:pt idx="26">
                  <c:v>2025-05-27</c:v>
                </c:pt>
                <c:pt idx="27">
                  <c:v>2025-05-28</c:v>
                </c:pt>
                <c:pt idx="28">
                  <c:v>2025-05-29</c:v>
                </c:pt>
                <c:pt idx="29">
                  <c:v>2025-05-30</c:v>
                </c:pt>
              </c:strCache>
            </c:strRef>
          </c:cat>
          <c:val>
            <c:numRef>
              <c:f>DAILY_ATTENDANCE!$B$4:$B$34</c:f>
              <c:numCache>
                <c:formatCode>General</c:formatCode>
                <c:ptCount val="30"/>
                <c:pt idx="0">
                  <c:v>2</c:v>
                </c:pt>
                <c:pt idx="1">
                  <c:v>1</c:v>
                </c:pt>
                <c:pt idx="2">
                  <c:v>5</c:v>
                </c:pt>
                <c:pt idx="3">
                  <c:v>2</c:v>
                </c:pt>
                <c:pt idx="4">
                  <c:v>2</c:v>
                </c:pt>
                <c:pt idx="5">
                  <c:v>7</c:v>
                </c:pt>
                <c:pt idx="6">
                  <c:v>4</c:v>
                </c:pt>
                <c:pt idx="7">
                  <c:v>1</c:v>
                </c:pt>
                <c:pt idx="8">
                  <c:v>3</c:v>
                </c:pt>
                <c:pt idx="9">
                  <c:v>4</c:v>
                </c:pt>
                <c:pt idx="10">
                  <c:v>3</c:v>
                </c:pt>
                <c:pt idx="11">
                  <c:v>5</c:v>
                </c:pt>
                <c:pt idx="12">
                  <c:v>2</c:v>
                </c:pt>
                <c:pt idx="13">
                  <c:v>2</c:v>
                </c:pt>
                <c:pt idx="14">
                  <c:v>2</c:v>
                </c:pt>
                <c:pt idx="15">
                  <c:v>2</c:v>
                </c:pt>
                <c:pt idx="16">
                  <c:v>4</c:v>
                </c:pt>
                <c:pt idx="17">
                  <c:v>3</c:v>
                </c:pt>
                <c:pt idx="18">
                  <c:v>3</c:v>
                </c:pt>
                <c:pt idx="19">
                  <c:v>4</c:v>
                </c:pt>
                <c:pt idx="20">
                  <c:v>2</c:v>
                </c:pt>
                <c:pt idx="21">
                  <c:v>1</c:v>
                </c:pt>
                <c:pt idx="22">
                  <c:v>2</c:v>
                </c:pt>
                <c:pt idx="23">
                  <c:v>2</c:v>
                </c:pt>
                <c:pt idx="24">
                  <c:v>4</c:v>
                </c:pt>
                <c:pt idx="25">
                  <c:v>1</c:v>
                </c:pt>
                <c:pt idx="26">
                  <c:v>4</c:v>
                </c:pt>
                <c:pt idx="27">
                  <c:v>5</c:v>
                </c:pt>
                <c:pt idx="28">
                  <c:v>1</c:v>
                </c:pt>
                <c:pt idx="29">
                  <c:v>1</c:v>
                </c:pt>
              </c:numCache>
            </c:numRef>
          </c:val>
          <c:extLst>
            <c:ext xmlns:c16="http://schemas.microsoft.com/office/drawing/2014/chart" uri="{C3380CC4-5D6E-409C-BE32-E72D297353CC}">
              <c16:uniqueId val="{00000000-3813-4A55-BE8D-D3D7A0E5E1FE}"/>
            </c:ext>
          </c:extLst>
        </c:ser>
        <c:dLbls>
          <c:showLegendKey val="0"/>
          <c:showVal val="0"/>
          <c:showCatName val="0"/>
          <c:showSerName val="0"/>
          <c:showPercent val="0"/>
          <c:showBubbleSize val="0"/>
        </c:dLbls>
        <c:gapWidth val="150"/>
        <c:shape val="box"/>
        <c:axId val="1843821391"/>
        <c:axId val="1843805551"/>
        <c:axId val="0"/>
      </c:bar3DChart>
      <c:catAx>
        <c:axId val="184382139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Bahnschrift SemiBold" panose="020B0502040204020203" pitchFamily="34" charset="0"/>
                <a:ea typeface="+mn-ea"/>
                <a:cs typeface="+mn-cs"/>
              </a:defRPr>
            </a:pPr>
            <a:endParaRPr lang="en-US"/>
          </a:p>
        </c:txPr>
        <c:crossAx val="1843805551"/>
        <c:crosses val="autoZero"/>
        <c:auto val="1"/>
        <c:lblAlgn val="ctr"/>
        <c:lblOffset val="100"/>
        <c:noMultiLvlLbl val="0"/>
      </c:catAx>
      <c:valAx>
        <c:axId val="1843805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Bahnschrift SemiBold" panose="020B0502040204020203" pitchFamily="34" charset="0"/>
                <a:ea typeface="+mn-ea"/>
                <a:cs typeface="+mn-cs"/>
              </a:defRPr>
            </a:pPr>
            <a:endParaRPr lang="en-US"/>
          </a:p>
        </c:txPr>
        <c:crossAx val="1843821391"/>
        <c:crosses val="autoZero"/>
        <c:crossBetween val="between"/>
      </c:valAx>
      <c:spPr>
        <a:noFill/>
        <a:ln>
          <a:noFill/>
        </a:ln>
        <a:effectLst/>
      </c:spPr>
    </c:plotArea>
    <c:legend>
      <c:legendPos val="r"/>
      <c:layout>
        <c:manualLayout>
          <c:xMode val="edge"/>
          <c:yMode val="edge"/>
          <c:x val="0.83934581657335172"/>
          <c:y val="0.22856415675313316"/>
          <c:w val="0.14308464000727988"/>
          <c:h val="0.2554689754689754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latin typeface="Bahnschrift SemiBold"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sng" algn="ctr">
      <a:solidFill>
        <a:schemeClr val="bg1">
          <a:lumMod val="50000"/>
          <a:alpha val="93000"/>
        </a:schemeClr>
      </a:solidFill>
      <a:round/>
    </a:ln>
    <a:effectLst>
      <a:glow rad="139700">
        <a:schemeClr val="bg1">
          <a:lumMod val="50000"/>
        </a:schemeClr>
      </a:glow>
      <a:innerShdw blurRad="114300">
        <a:schemeClr val="bg1">
          <a:lumMod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Attendance Tracker Dashboard.xlsx]PUNCTUAL_EMPLOYEES!PivotTable1</c:name>
    <c:fmtId val="2"/>
  </c:pivotSource>
  <c:chart>
    <c:title>
      <c:tx>
        <c:rich>
          <a:bodyPr rot="0" spcFirstLastPara="1" vertOverflow="ellipsis" vert="horz" wrap="square" anchor="ctr" anchorCtr="1"/>
          <a:lstStyle/>
          <a:p>
            <a:pPr>
              <a:defRPr sz="2000" b="1" i="0" u="dotted" strike="noStrike" kern="1200" baseline="0">
                <a:solidFill>
                  <a:schemeClr val="tx1"/>
                </a:solidFill>
                <a:uFill>
                  <a:solidFill>
                    <a:schemeClr val="bg1"/>
                  </a:solidFill>
                </a:uFill>
                <a:latin typeface="Arial Rounded MT Bold" panose="020F0704030504030204" pitchFamily="34" charset="0"/>
                <a:ea typeface="+mn-ea"/>
                <a:cs typeface="+mn-cs"/>
              </a:defRPr>
            </a:pPr>
            <a:r>
              <a:rPr lang="en-US" sz="2000" b="1" i="0" u="dotted" strike="noStrike" kern="1200" baseline="0">
                <a:solidFill>
                  <a:schemeClr val="tx1"/>
                </a:solidFill>
                <a:uFill>
                  <a:solidFill>
                    <a:schemeClr val="bg1"/>
                  </a:solidFill>
                </a:uFill>
                <a:latin typeface="Arial Rounded MT Bold" panose="020F0704030504030204" pitchFamily="34" charset="0"/>
                <a:ea typeface="+mn-ea"/>
                <a:cs typeface="+mn-cs"/>
              </a:rPr>
              <a:t>MOST</a:t>
            </a:r>
            <a:r>
              <a:rPr lang="en-US" sz="2000" u="dotted" baseline="0">
                <a:solidFill>
                  <a:schemeClr val="tx1"/>
                </a:solidFill>
                <a:uFill>
                  <a:solidFill>
                    <a:schemeClr val="bg1"/>
                  </a:solidFill>
                </a:uFill>
                <a:latin typeface="Arial Rounded MT Bold" panose="020F0704030504030204" pitchFamily="34" charset="0"/>
              </a:rPr>
              <a:t> PUNCTUAL EMPLOYEES</a:t>
            </a:r>
          </a:p>
        </c:rich>
      </c:tx>
      <c:layout>
        <c:manualLayout>
          <c:xMode val="edge"/>
          <c:yMode val="edge"/>
          <c:x val="0.1825303137627752"/>
          <c:y val="5.8574174008262529E-2"/>
        </c:manualLayout>
      </c:layout>
      <c:overlay val="0"/>
      <c:spPr>
        <a:noFill/>
        <a:ln>
          <a:noFill/>
        </a:ln>
        <a:effectLst/>
      </c:spPr>
      <c:txPr>
        <a:bodyPr rot="0" spcFirstLastPara="1" vertOverflow="ellipsis" vert="horz" wrap="square" anchor="ctr" anchorCtr="1"/>
        <a:lstStyle/>
        <a:p>
          <a:pPr>
            <a:defRPr sz="2000" b="1" i="0" u="dotted" strike="noStrike" kern="1200" baseline="0">
              <a:solidFill>
                <a:schemeClr val="tx1"/>
              </a:solidFill>
              <a:uFill>
                <a:solidFill>
                  <a:schemeClr val="bg1"/>
                </a:solidFill>
              </a:u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rial Rounded MT Bold" panose="020F070403050403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PUNCTUAL_EMPLOYEES!$B$4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8B4-4187-A81A-ED3B41FF096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8B4-4187-A81A-ED3B41FF096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8B4-4187-A81A-ED3B41FF096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8B4-4187-A81A-ED3B41FF096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08B4-4187-A81A-ED3B41FF0967}"/>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08B4-4187-A81A-ED3B41FF0967}"/>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08B4-4187-A81A-ED3B41FF0967}"/>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08B4-4187-A81A-ED3B41FF0967}"/>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86C6-414E-8C4D-97F41247AF4D}"/>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08B4-4187-A81A-ED3B41FF096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rial Rounded MT Bold" panose="020F0704030504030204" pitchFamily="34"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PUNCTUAL_EMPLOYEES!$A$5:$A$15</c:f>
              <c:strCache>
                <c:ptCount val="10"/>
                <c:pt idx="0">
                  <c:v>Fatou Jobe</c:v>
                </c:pt>
                <c:pt idx="1">
                  <c:v>Mariama Bah</c:v>
                </c:pt>
                <c:pt idx="2">
                  <c:v>Ousman Jatta</c:v>
                </c:pt>
                <c:pt idx="3">
                  <c:v>Modou Cham</c:v>
                </c:pt>
                <c:pt idx="4">
                  <c:v>Saffie Joof</c:v>
                </c:pt>
                <c:pt idx="5">
                  <c:v>Lamin Sowe</c:v>
                </c:pt>
                <c:pt idx="6">
                  <c:v>Jainaba Ceesay</c:v>
                </c:pt>
                <c:pt idx="7">
                  <c:v>Awa Sanyang</c:v>
                </c:pt>
                <c:pt idx="8">
                  <c:v>Ismaila Camara</c:v>
                </c:pt>
                <c:pt idx="9">
                  <c:v>Ebrima Touray</c:v>
                </c:pt>
              </c:strCache>
            </c:strRef>
          </c:cat>
          <c:val>
            <c:numRef>
              <c:f>PUNCTUAL_EMPLOYEES!$B$5:$B$15</c:f>
              <c:numCache>
                <c:formatCode>General</c:formatCode>
                <c:ptCount val="10"/>
                <c:pt idx="0">
                  <c:v>13</c:v>
                </c:pt>
                <c:pt idx="1">
                  <c:v>11</c:v>
                </c:pt>
                <c:pt idx="2">
                  <c:v>11</c:v>
                </c:pt>
                <c:pt idx="3">
                  <c:v>10</c:v>
                </c:pt>
                <c:pt idx="4">
                  <c:v>8</c:v>
                </c:pt>
                <c:pt idx="5">
                  <c:v>8</c:v>
                </c:pt>
                <c:pt idx="6">
                  <c:v>8</c:v>
                </c:pt>
                <c:pt idx="7">
                  <c:v>7</c:v>
                </c:pt>
                <c:pt idx="8">
                  <c:v>5</c:v>
                </c:pt>
                <c:pt idx="9">
                  <c:v>3</c:v>
                </c:pt>
              </c:numCache>
            </c:numRef>
          </c:val>
          <c:extLst>
            <c:ext xmlns:c16="http://schemas.microsoft.com/office/drawing/2014/chart" uri="{C3380CC4-5D6E-409C-BE32-E72D297353CC}">
              <c16:uniqueId val="{00000000-86C6-414E-8C4D-97F41247AF4D}"/>
            </c:ext>
          </c:extLst>
        </c:ser>
        <c:dLbls>
          <c:showLegendKey val="0"/>
          <c:showVal val="1"/>
          <c:showCatName val="0"/>
          <c:showSerName val="0"/>
          <c:showPercent val="0"/>
          <c:showBubbleSize val="0"/>
          <c:showLeaderLines val="1"/>
        </c:dLbls>
        <c:firstSliceAng val="123"/>
        <c:holeSize val="55"/>
      </c:doughnutChart>
      <c:spPr>
        <a:noFill/>
        <a:ln>
          <a:noFill/>
        </a:ln>
        <a:effectLst>
          <a:glow rad="228600">
            <a:schemeClr val="accent3">
              <a:satMod val="175000"/>
              <a:alpha val="40000"/>
            </a:schemeClr>
          </a:glow>
          <a:innerShdw blurRad="431800" dist="63500" dir="7800000">
            <a:schemeClr val="bg1">
              <a:lumMod val="50000"/>
            </a:schemeClr>
          </a:innerShdw>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1100" b="1" i="0" u="none" strike="noStrike" kern="1200" baseline="0">
              <a:solidFill>
                <a:schemeClr val="tx1"/>
              </a:solidFill>
              <a:latin typeface="Bahnschrift SemiBold"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sng" algn="ctr">
      <a:solidFill>
        <a:schemeClr val="bg1">
          <a:lumMod val="50000"/>
          <a:alpha val="93000"/>
        </a:schemeClr>
      </a:solidFill>
      <a:round/>
    </a:ln>
    <a:effectLst>
      <a:glow rad="139700">
        <a:schemeClr val="bg1">
          <a:lumMod val="50000"/>
        </a:schemeClr>
      </a:glow>
      <a:innerShdw blurRad="114300">
        <a:schemeClr val="bg1">
          <a:lumMod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Attendance Tracker Dashboard.xlsx]PUNCTUAL_DEPARTMENTS!PivotTable3</c:name>
    <c:fmtId val="0"/>
  </c:pivotSource>
  <c:chart>
    <c:title>
      <c:tx>
        <c:rich>
          <a:bodyPr rot="0" spcFirstLastPara="1" vertOverflow="ellipsis" vert="horz" wrap="square" anchor="ctr" anchorCtr="1"/>
          <a:lstStyle/>
          <a:p>
            <a:pPr>
              <a:defRPr sz="1600" b="1" i="0" u="none" strike="noStrike" kern="1200" cap="all" spc="50" baseline="0">
                <a:ln>
                  <a:noFill/>
                  <a:prstDash val="sysDot"/>
                </a:ln>
                <a:solidFill>
                  <a:schemeClr val="tx1">
                    <a:lumMod val="95000"/>
                    <a:lumOff val="5000"/>
                  </a:schemeClr>
                </a:solidFill>
                <a:latin typeface="Arial Rounded MT Bold" panose="020F0704030504030204" pitchFamily="34" charset="0"/>
                <a:ea typeface="+mn-ea"/>
                <a:cs typeface="+mn-cs"/>
              </a:defRPr>
            </a:pPr>
            <a:r>
              <a:rPr lang="en-IN" sz="1600" b="1" i="0" u="none" strike="noStrike" kern="1200" cap="all" spc="50" baseline="0">
                <a:ln>
                  <a:noFill/>
                  <a:prstDash val="sysDot"/>
                </a:ln>
                <a:solidFill>
                  <a:schemeClr val="tx1">
                    <a:lumMod val="95000"/>
                    <a:lumOff val="5000"/>
                  </a:schemeClr>
                </a:solidFill>
                <a:latin typeface="Arial Rounded MT Bold" panose="020F0704030504030204" pitchFamily="34" charset="0"/>
                <a:ea typeface="+mn-ea"/>
                <a:cs typeface="+mn-cs"/>
              </a:rPr>
              <a:t>MOST</a:t>
            </a:r>
            <a:r>
              <a:rPr lang="en-IN" sz="1600" b="1" i="0" u="none" strike="noStrike" cap="all" baseline="0">
                <a:ln>
                  <a:noFill/>
                  <a:prstDash val="sysDot"/>
                </a:ln>
                <a:solidFill>
                  <a:schemeClr val="tx1">
                    <a:lumMod val="95000"/>
                    <a:lumOff val="5000"/>
                  </a:schemeClr>
                </a:solidFill>
                <a:latin typeface="Arial Rounded MT Bold" panose="020F0704030504030204" pitchFamily="34" charset="0"/>
              </a:rPr>
              <a:t> PUNCTUAL DEPARTMENTS</a:t>
            </a:r>
            <a:endParaRPr lang="en-US" sz="1600">
              <a:ln>
                <a:noFill/>
                <a:prstDash val="sysDot"/>
              </a:ln>
              <a:solidFill>
                <a:schemeClr val="tx1">
                  <a:lumMod val="95000"/>
                  <a:lumOff val="5000"/>
                </a:schemeClr>
              </a:solidFill>
              <a:latin typeface="Arial Rounded MT Bold" panose="020F0704030504030204" pitchFamily="34" charset="0"/>
            </a:endParaRPr>
          </a:p>
        </c:rich>
      </c:tx>
      <c:layout>
        <c:manualLayout>
          <c:xMode val="edge"/>
          <c:yMode val="edge"/>
          <c:x val="0.13709994843515574"/>
          <c:y val="4.1184024489901806E-2"/>
        </c:manualLayout>
      </c:layout>
      <c:overlay val="0"/>
      <c:spPr>
        <a:noFill/>
        <a:ln>
          <a:noFill/>
        </a:ln>
        <a:effectLst>
          <a:innerShdw blurRad="114300">
            <a:schemeClr val="accent2">
              <a:lumMod val="75000"/>
            </a:schemeClr>
          </a:innerShdw>
        </a:effectLst>
      </c:spPr>
      <c:txPr>
        <a:bodyPr rot="0" spcFirstLastPara="1" vertOverflow="ellipsis" vert="horz" wrap="square" anchor="ctr" anchorCtr="1"/>
        <a:lstStyle/>
        <a:p>
          <a:pPr>
            <a:defRPr sz="1600" b="1" i="0" u="none" strike="noStrike" kern="1200" cap="all" spc="50" baseline="0">
              <a:ln>
                <a:noFill/>
                <a:prstDash val="sysDot"/>
              </a:ln>
              <a:solidFill>
                <a:schemeClr val="tx1">
                  <a:lumMod val="95000"/>
                  <a:lumOff val="5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Rounded MT Bold" panose="020F070403050403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9.1418537305677186E-2"/>
              <c:y val="-0.1899191560842101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6688949526905356"/>
              <c:y val="0.1041342383009265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9.5848073026886679E-2"/>
              <c:y val="-0.1983397217213842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6045440737288202"/>
              <c:y val="4.614745610280224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6.7264169482897998E-2"/>
              <c:y val="0.2073183254856688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PUNCTUAL_DEPARTMENTS!$B$5</c:f>
              <c:strCache>
                <c:ptCount val="1"/>
                <c:pt idx="0">
                  <c:v>Total</c:v>
                </c:pt>
              </c:strCache>
            </c:strRef>
          </c:tx>
          <c:dPt>
            <c:idx val="0"/>
            <c:bubble3D val="0"/>
            <c:explosion val="8"/>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E47-4A41-BFEF-4667890455B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E47-4A41-BFEF-4667890455B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E47-4A41-BFEF-4667890455B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E47-4A41-BFEF-4667890455B2}"/>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E47-4A41-BFEF-4667890455B2}"/>
              </c:ext>
            </c:extLst>
          </c:dPt>
          <c:dLbls>
            <c:dLbl>
              <c:idx val="0"/>
              <c:layout>
                <c:manualLayout>
                  <c:x val="-0.16688949526905356"/>
                  <c:y val="0.1041342383009265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E47-4A41-BFEF-4667890455B2}"/>
                </c:ext>
              </c:extLst>
            </c:dLbl>
            <c:dLbl>
              <c:idx val="1"/>
              <c:layout>
                <c:manualLayout>
                  <c:x val="-9.1418537305677186E-2"/>
                  <c:y val="-0.1899191560842101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E47-4A41-BFEF-4667890455B2}"/>
                </c:ext>
              </c:extLst>
            </c:dLbl>
            <c:dLbl>
              <c:idx val="2"/>
              <c:layout>
                <c:manualLayout>
                  <c:x val="9.5848073026886679E-2"/>
                  <c:y val="-0.1983397217213842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E47-4A41-BFEF-4667890455B2}"/>
                </c:ext>
              </c:extLst>
            </c:dLbl>
            <c:dLbl>
              <c:idx val="3"/>
              <c:layout>
                <c:manualLayout>
                  <c:x val="0.16045440737288202"/>
                  <c:y val="4.614745610280224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E47-4A41-BFEF-4667890455B2}"/>
                </c:ext>
              </c:extLst>
            </c:dLbl>
            <c:dLbl>
              <c:idx val="4"/>
              <c:layout>
                <c:manualLayout>
                  <c:x val="6.7264169482897998E-2"/>
                  <c:y val="0.2073183254856688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E47-4A41-BFEF-4667890455B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Rounded MT Bold" panose="020F0704030504030204" pitchFamily="34" charset="0"/>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PUNCTUAL_DEPARTMENTS!$A$6:$A$11</c:f>
              <c:strCache>
                <c:ptCount val="5"/>
                <c:pt idx="0">
                  <c:v>HR</c:v>
                </c:pt>
                <c:pt idx="1">
                  <c:v>Marketing</c:v>
                </c:pt>
                <c:pt idx="2">
                  <c:v>IT</c:v>
                </c:pt>
                <c:pt idx="3">
                  <c:v>Finance</c:v>
                </c:pt>
                <c:pt idx="4">
                  <c:v>Operations</c:v>
                </c:pt>
              </c:strCache>
            </c:strRef>
          </c:cat>
          <c:val>
            <c:numRef>
              <c:f>PUNCTUAL_DEPARTMENTS!$B$6:$B$11</c:f>
              <c:numCache>
                <c:formatCode>General</c:formatCode>
                <c:ptCount val="5"/>
                <c:pt idx="0">
                  <c:v>24</c:v>
                </c:pt>
                <c:pt idx="1">
                  <c:v>16</c:v>
                </c:pt>
                <c:pt idx="2">
                  <c:v>16</c:v>
                </c:pt>
                <c:pt idx="3">
                  <c:v>15</c:v>
                </c:pt>
                <c:pt idx="4">
                  <c:v>13</c:v>
                </c:pt>
              </c:numCache>
            </c:numRef>
          </c:val>
          <c:extLst>
            <c:ext xmlns:c16="http://schemas.microsoft.com/office/drawing/2014/chart" uri="{C3380CC4-5D6E-409C-BE32-E72D297353CC}">
              <c16:uniqueId val="{00000000-3394-49E3-9E7A-993F6BAFE388}"/>
            </c:ext>
          </c:extLst>
        </c:ser>
        <c:dLbls>
          <c:dLblPos val="inEnd"/>
          <c:showLegendKey val="0"/>
          <c:showVal val="0"/>
          <c:showCatName val="0"/>
          <c:showSerName val="0"/>
          <c:showPercent val="1"/>
          <c:showBubbleSize val="0"/>
          <c:showLeaderLines val="1"/>
        </c:dLbls>
        <c:firstSliceAng val="19"/>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ln>
                <a:noFill/>
              </a:ln>
              <a:solidFill>
                <a:schemeClr val="tx1">
                  <a:lumMod val="95000"/>
                  <a:lumOff val="5000"/>
                </a:schemeClr>
              </a:solidFill>
              <a:latin typeface="Bahnschrift SemiBold"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sng" algn="ctr">
      <a:solidFill>
        <a:schemeClr val="bg1">
          <a:lumMod val="50000"/>
          <a:alpha val="93000"/>
        </a:schemeClr>
      </a:solidFill>
      <a:round/>
    </a:ln>
    <a:effectLst>
      <a:glow rad="127000">
        <a:schemeClr val="bg1">
          <a:lumMod val="50000"/>
        </a:schemeClr>
      </a:glow>
      <a:outerShdw blurRad="50800" dist="50800" dir="5400000" algn="ctr" rotWithShape="0">
        <a:schemeClr val="bg1">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[Employee Attendance Tracker Dashboard.xlsx]MOST_ABSENT_DAY!PivotTable1</c:name>
    <c:fmtId val="0"/>
  </c:pivotSource>
  <c:chart>
    <c:title>
      <c:tx>
        <c:rich>
          <a:bodyPr rot="0" spcFirstLastPara="1" vertOverflow="ellipsis" vert="horz" wrap="square" anchor="ctr" anchorCtr="1"/>
          <a:lstStyle/>
          <a:p>
            <a:pPr>
              <a:defRPr sz="2000" b="1" i="0" u="none" strike="noStrike" kern="1200" baseline="0">
                <a:solidFill>
                  <a:schemeClr val="tx1">
                    <a:lumMod val="95000"/>
                    <a:lumOff val="5000"/>
                  </a:schemeClr>
                </a:solidFill>
                <a:latin typeface="Arial Rounded MT Bold" panose="020F0704030504030204" pitchFamily="34" charset="0"/>
                <a:ea typeface="+mn-ea"/>
                <a:cs typeface="+mn-cs"/>
              </a:defRPr>
            </a:pPr>
            <a:r>
              <a:rPr lang="en-IN" sz="2000" b="1" i="0" u="none" strike="noStrike" baseline="0">
                <a:solidFill>
                  <a:schemeClr val="tx1">
                    <a:lumMod val="95000"/>
                    <a:lumOff val="5000"/>
                  </a:schemeClr>
                </a:solidFill>
                <a:latin typeface="Arial Rounded MT Bold" panose="020F0704030504030204" pitchFamily="34" charset="0"/>
              </a:rPr>
              <a:t>DAY WITH MOST ABSENT</a:t>
            </a:r>
            <a:endParaRPr lang="en-US" sz="2000" baseline="0">
              <a:solidFill>
                <a:schemeClr val="tx1">
                  <a:lumMod val="95000"/>
                  <a:lumOff val="5000"/>
                </a:schemeClr>
              </a:solidFill>
              <a:latin typeface="Arial Rounded MT Bold" panose="020F0704030504030204" pitchFamily="34" charset="0"/>
            </a:endParaRPr>
          </a:p>
        </c:rich>
      </c:tx>
      <c:layout>
        <c:manualLayout>
          <c:xMode val="edge"/>
          <c:yMode val="edge"/>
          <c:x val="0.19243042671614102"/>
          <c:y val="5.4939240727048144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95000"/>
                  <a:lumOff val="5000"/>
                </a:schemeClr>
              </a:solidFill>
              <a:latin typeface="Arial Rounded MT Bold" panose="020F070403050403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MOST_ABSENT_DAY!$B$4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MOST_ABSENT_DAY!$A$5:$A$12</c:f>
              <c:strCache>
                <c:ptCount val="7"/>
                <c:pt idx="0">
                  <c:v>Tuesday</c:v>
                </c:pt>
                <c:pt idx="1">
                  <c:v>Saturday</c:v>
                </c:pt>
                <c:pt idx="2">
                  <c:v>Wednesday</c:v>
                </c:pt>
                <c:pt idx="3">
                  <c:v>Sunday</c:v>
                </c:pt>
                <c:pt idx="4">
                  <c:v>Monday</c:v>
                </c:pt>
                <c:pt idx="5">
                  <c:v>Friday</c:v>
                </c:pt>
                <c:pt idx="6">
                  <c:v>Thursday</c:v>
                </c:pt>
              </c:strCache>
            </c:strRef>
          </c:cat>
          <c:val>
            <c:numRef>
              <c:f>MOST_ABSENT_DAY!$B$5:$B$12</c:f>
              <c:numCache>
                <c:formatCode>General</c:formatCode>
                <c:ptCount val="7"/>
                <c:pt idx="0">
                  <c:v>17</c:v>
                </c:pt>
                <c:pt idx="1">
                  <c:v>15</c:v>
                </c:pt>
                <c:pt idx="2">
                  <c:v>13</c:v>
                </c:pt>
                <c:pt idx="3">
                  <c:v>12</c:v>
                </c:pt>
                <c:pt idx="4">
                  <c:v>11</c:v>
                </c:pt>
                <c:pt idx="5">
                  <c:v>9</c:v>
                </c:pt>
                <c:pt idx="6">
                  <c:v>7</c:v>
                </c:pt>
              </c:numCache>
            </c:numRef>
          </c:val>
          <c:extLst>
            <c:ext xmlns:c16="http://schemas.microsoft.com/office/drawing/2014/chart" uri="{C3380CC4-5D6E-409C-BE32-E72D297353CC}">
              <c16:uniqueId val="{00000000-B302-425F-8E8B-9C450DF946C4}"/>
            </c:ext>
          </c:extLst>
        </c:ser>
        <c:dLbls>
          <c:showLegendKey val="0"/>
          <c:showVal val="0"/>
          <c:showCatName val="0"/>
          <c:showSerName val="0"/>
          <c:showPercent val="0"/>
          <c:showBubbleSize val="0"/>
        </c:dLbls>
        <c:gapWidth val="150"/>
        <c:shape val="box"/>
        <c:axId val="1050993663"/>
        <c:axId val="1051022463"/>
        <c:axId val="0"/>
      </c:bar3DChart>
      <c:catAx>
        <c:axId val="1050993663"/>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Bahnschrift SemiBold" panose="020B0502040204020203" pitchFamily="34" charset="0"/>
                <a:ea typeface="+mn-ea"/>
                <a:cs typeface="+mn-cs"/>
              </a:defRPr>
            </a:pPr>
            <a:endParaRPr lang="en-US"/>
          </a:p>
        </c:txPr>
        <c:crossAx val="1051022463"/>
        <c:crosses val="autoZero"/>
        <c:auto val="1"/>
        <c:lblAlgn val="ctr"/>
        <c:lblOffset val="100"/>
        <c:noMultiLvlLbl val="0"/>
      </c:catAx>
      <c:valAx>
        <c:axId val="10510224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Bahnschrift SemiBold" panose="020B0502040204020203" pitchFamily="34" charset="0"/>
                <a:ea typeface="+mn-ea"/>
                <a:cs typeface="+mn-cs"/>
              </a:defRPr>
            </a:pPr>
            <a:endParaRPr lang="en-US"/>
          </a:p>
        </c:txPr>
        <c:crossAx val="105099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sng" algn="ctr">
      <a:solidFill>
        <a:schemeClr val="bg1">
          <a:lumMod val="50000"/>
          <a:alpha val="93000"/>
        </a:schemeClr>
      </a:solidFill>
      <a:round/>
    </a:ln>
    <a:effectLst>
      <a:glow rad="139700">
        <a:schemeClr val="bg1">
          <a:lumMod val="50000"/>
        </a:schemeClr>
      </a:glow>
      <a:outerShdw blurRad="114300" sx="1000" sy="1000" algn="ctr" rotWithShape="0">
        <a:schemeClr val="bg1">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[Employee Attendance Tracker Dashboard.xlsx]DEPARTMENT_ABSENTEEISM!PivotTable2</c:name>
    <c:fmtId val="11"/>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1800">
                <a:effectLst/>
              </a:rPr>
              <a:t> </a:t>
            </a:r>
          </a:p>
          <a:p>
            <a:pPr>
              <a:defRPr/>
            </a:pPr>
            <a:r>
              <a:rPr lang="en-IN" sz="1800" b="1">
                <a:solidFill>
                  <a:schemeClr val="tx1">
                    <a:lumMod val="95000"/>
                    <a:lumOff val="5000"/>
                  </a:schemeClr>
                </a:solidFill>
                <a:effectLst/>
              </a:rPr>
              <a:t>DEPARTMENT-WISE</a:t>
            </a:r>
            <a:r>
              <a:rPr lang="en-IN" sz="1800" b="1">
                <a:effectLst/>
              </a:rPr>
              <a:t> </a:t>
            </a:r>
            <a:r>
              <a:rPr lang="en-IN" sz="1800" b="1">
                <a:solidFill>
                  <a:schemeClr val="tx1">
                    <a:lumMod val="95000"/>
                    <a:lumOff val="5000"/>
                  </a:schemeClr>
                </a:solidFill>
                <a:effectLst/>
              </a:rPr>
              <a:t>ABSENTEEISM</a:t>
            </a:r>
            <a:endParaRPr lang="en-IN" sz="1800">
              <a:solidFill>
                <a:schemeClr val="tx1">
                  <a:lumMod val="95000"/>
                  <a:lumOff val="5000"/>
                </a:schemeClr>
              </a:solidFill>
              <a:effectLst/>
            </a:endParaRPr>
          </a:p>
          <a:p>
            <a:pPr>
              <a:defRPr/>
            </a:pPr>
            <a:endParaRPr lang="en-IN" baseline="0">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4537278403339516E-2"/>
          <c:y val="0.10912390168150334"/>
          <c:w val="0.87603683498607043"/>
          <c:h val="0.78534427142573493"/>
        </c:manualLayout>
      </c:layout>
      <c:bar3DChart>
        <c:barDir val="col"/>
        <c:grouping val="standard"/>
        <c:varyColors val="0"/>
        <c:ser>
          <c:idx val="0"/>
          <c:order val="0"/>
          <c:tx>
            <c:strRef>
              <c:f>DEPARTMENT_ABSENTEEISM!$B$4</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DEPARTMENT_ABSENTEEISM!$A$5:$A$10</c:f>
              <c:strCache>
                <c:ptCount val="5"/>
                <c:pt idx="0">
                  <c:v>HR</c:v>
                </c:pt>
                <c:pt idx="1">
                  <c:v>Marketing</c:v>
                </c:pt>
                <c:pt idx="2">
                  <c:v>IT</c:v>
                </c:pt>
                <c:pt idx="3">
                  <c:v>Finance</c:v>
                </c:pt>
                <c:pt idx="4">
                  <c:v>Operations</c:v>
                </c:pt>
              </c:strCache>
            </c:strRef>
          </c:cat>
          <c:val>
            <c:numRef>
              <c:f>DEPARTMENT_ABSENTEEISM!$B$5:$B$10</c:f>
              <c:numCache>
                <c:formatCode>General</c:formatCode>
                <c:ptCount val="5"/>
                <c:pt idx="0">
                  <c:v>24</c:v>
                </c:pt>
                <c:pt idx="1">
                  <c:v>16</c:v>
                </c:pt>
                <c:pt idx="2">
                  <c:v>16</c:v>
                </c:pt>
                <c:pt idx="3">
                  <c:v>15</c:v>
                </c:pt>
                <c:pt idx="4">
                  <c:v>13</c:v>
                </c:pt>
              </c:numCache>
            </c:numRef>
          </c:val>
          <c:extLst>
            <c:ext xmlns:c16="http://schemas.microsoft.com/office/drawing/2014/chart" uri="{C3380CC4-5D6E-409C-BE32-E72D297353CC}">
              <c16:uniqueId val="{00000000-B832-4D72-9DE3-BAD5C50B87C0}"/>
            </c:ext>
          </c:extLst>
        </c:ser>
        <c:dLbls>
          <c:showLegendKey val="0"/>
          <c:showVal val="1"/>
          <c:showCatName val="0"/>
          <c:showSerName val="0"/>
          <c:showPercent val="0"/>
          <c:showBubbleSize val="0"/>
        </c:dLbls>
        <c:gapWidth val="84"/>
        <c:gapDepth val="53"/>
        <c:shape val="box"/>
        <c:axId val="1050999903"/>
        <c:axId val="1051003743"/>
        <c:axId val="1381512271"/>
      </c:bar3DChart>
      <c:valAx>
        <c:axId val="1051003743"/>
        <c:scaling>
          <c:orientation val="minMax"/>
        </c:scaling>
        <c:delete val="1"/>
        <c:axPos val="l"/>
        <c:numFmt formatCode="General" sourceLinked="1"/>
        <c:majorTickMark val="out"/>
        <c:minorTickMark val="none"/>
        <c:tickLblPos val="nextTo"/>
        <c:crossAx val="1050999903"/>
        <c:crosses val="autoZero"/>
        <c:crossBetween val="between"/>
      </c:valAx>
      <c:catAx>
        <c:axId val="1050999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Bahnschrift SemiBold" panose="020B0502040204020203" pitchFamily="34" charset="0"/>
                <a:ea typeface="+mn-ea"/>
                <a:cs typeface="+mn-cs"/>
              </a:defRPr>
            </a:pPr>
            <a:endParaRPr lang="en-US"/>
          </a:p>
        </c:txPr>
        <c:crossAx val="1051003743"/>
        <c:crosses val="autoZero"/>
        <c:auto val="1"/>
        <c:lblAlgn val="ctr"/>
        <c:lblOffset val="100"/>
        <c:noMultiLvlLbl val="0"/>
      </c:catAx>
      <c:serAx>
        <c:axId val="1381512271"/>
        <c:scaling>
          <c:orientation val="minMax"/>
        </c:scaling>
        <c:delete val="1"/>
        <c:axPos val="b"/>
        <c:majorTickMark val="none"/>
        <c:minorTickMark val="none"/>
        <c:tickLblPos val="nextTo"/>
        <c:crossAx val="1051003743"/>
        <c:crosses val="autoZero"/>
      </c:ser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sng" algn="ctr">
      <a:solidFill>
        <a:schemeClr val="bg1">
          <a:lumMod val="50000"/>
          <a:alpha val="93000"/>
        </a:schemeClr>
      </a:solidFill>
      <a:round/>
    </a:ln>
    <a:effectLst>
      <a:glow rad="139700">
        <a:schemeClr val="accent3">
          <a:satMod val="175000"/>
        </a:schemeClr>
      </a:glow>
      <a:innerShdw blurRad="114300">
        <a:schemeClr val="bg1">
          <a:lumMod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Attendance Tracker Dashboard.xlsx]MONTHLY_TREND!PivotTable3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chemeClr val="tx1">
                    <a:lumMod val="95000"/>
                    <a:lumOff val="5000"/>
                  </a:schemeClr>
                </a:solidFill>
                <a:latin typeface="Arial Rounded MT Bold" panose="020F0704030504030204" pitchFamily="34" charset="0"/>
                <a:ea typeface="+mn-ea"/>
                <a:cs typeface="+mn-cs"/>
              </a:defRPr>
            </a:pPr>
            <a:r>
              <a:rPr lang="en-IN" sz="1400" b="1">
                <a:solidFill>
                  <a:schemeClr val="tx1">
                    <a:lumMod val="95000"/>
                    <a:lumOff val="5000"/>
                  </a:schemeClr>
                </a:solidFill>
                <a:effectLst/>
                <a:latin typeface="Arial Rounded MT Bold" panose="020F0704030504030204" pitchFamily="34" charset="0"/>
              </a:rPr>
              <a:t>MONTHLY ATTENDANCE TREND</a:t>
            </a:r>
          </a:p>
          <a:p>
            <a:pPr marL="0" marR="0" lvl="0" indent="0" algn="ctr" defTabSz="914400" rtl="0" eaLnBrk="1" fontAlgn="auto" latinLnBrk="0" hangingPunct="1">
              <a:lnSpc>
                <a:spcPct val="100000"/>
              </a:lnSpc>
              <a:spcBef>
                <a:spcPts val="0"/>
              </a:spcBef>
              <a:spcAft>
                <a:spcPts val="0"/>
              </a:spcAft>
              <a:buClrTx/>
              <a:buSzTx/>
              <a:buFontTx/>
              <a:buNone/>
              <a:tabLst/>
              <a:defRPr b="1">
                <a:solidFill>
                  <a:schemeClr val="tx1">
                    <a:lumMod val="95000"/>
                    <a:lumOff val="5000"/>
                  </a:schemeClr>
                </a:solidFill>
                <a:latin typeface="Arial Rounded MT Bold" panose="020F0704030504030204" pitchFamily="34" charset="0"/>
              </a:defRPr>
            </a:pPr>
            <a:endParaRPr lang="en-US" sz="1400" b="1">
              <a:solidFill>
                <a:schemeClr val="tx1">
                  <a:lumMod val="95000"/>
                  <a:lumOff val="5000"/>
                </a:schemeClr>
              </a:solidFill>
              <a:latin typeface="Arial Rounded MT Bold" panose="020F0704030504030204" pitchFamily="34" charset="0"/>
            </a:endParaRPr>
          </a:p>
        </c:rich>
      </c:tx>
      <c:layout>
        <c:manualLayout>
          <c:xMode val="edge"/>
          <c:yMode val="edge"/>
          <c:x val="0.19885794847090718"/>
          <c:y val="9.177291194765038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chemeClr val="tx1">
                  <a:lumMod val="95000"/>
                  <a:lumOff val="5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03445540228129E-2"/>
          <c:y val="0.19795443377796954"/>
          <c:w val="0.91596184447772977"/>
          <c:h val="0.60759085392187895"/>
        </c:manualLayout>
      </c:layout>
      <c:lineChart>
        <c:grouping val="stacked"/>
        <c:varyColors val="0"/>
        <c:ser>
          <c:idx val="0"/>
          <c:order val="0"/>
          <c:tx>
            <c:strRef>
              <c:f>MONTHLY_TREND!$B$3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MONTHLY_TREND!$A$4:$A$34</c:f>
              <c:strCache>
                <c:ptCount val="30"/>
                <c:pt idx="0">
                  <c:v>2025-05-06</c:v>
                </c:pt>
                <c:pt idx="1">
                  <c:v>2025-05-03</c:v>
                </c:pt>
                <c:pt idx="2">
                  <c:v>2025-05-12</c:v>
                </c:pt>
                <c:pt idx="3">
                  <c:v>2025-05-28</c:v>
                </c:pt>
                <c:pt idx="4">
                  <c:v>2025-05-25</c:v>
                </c:pt>
                <c:pt idx="5">
                  <c:v>2025-05-20</c:v>
                </c:pt>
                <c:pt idx="6">
                  <c:v>2025-05-17</c:v>
                </c:pt>
                <c:pt idx="7">
                  <c:v>2025-05-07</c:v>
                </c:pt>
                <c:pt idx="8">
                  <c:v>2025-05-10</c:v>
                </c:pt>
                <c:pt idx="9">
                  <c:v>2025-05-27</c:v>
                </c:pt>
                <c:pt idx="10">
                  <c:v>2025-05-19</c:v>
                </c:pt>
                <c:pt idx="11">
                  <c:v>2025-05-09</c:v>
                </c:pt>
                <c:pt idx="12">
                  <c:v>2025-05-11</c:v>
                </c:pt>
                <c:pt idx="13">
                  <c:v>2025-05-18</c:v>
                </c:pt>
                <c:pt idx="14">
                  <c:v>2025-05-04</c:v>
                </c:pt>
                <c:pt idx="15">
                  <c:v>2025-05-23</c:v>
                </c:pt>
                <c:pt idx="16">
                  <c:v>2025-05-21</c:v>
                </c:pt>
                <c:pt idx="17">
                  <c:v>2025-05-01</c:v>
                </c:pt>
                <c:pt idx="18">
                  <c:v>2025-05-24</c:v>
                </c:pt>
                <c:pt idx="19">
                  <c:v>2025-05-16</c:v>
                </c:pt>
                <c:pt idx="20">
                  <c:v>2025-05-05</c:v>
                </c:pt>
                <c:pt idx="21">
                  <c:v>2025-05-13</c:v>
                </c:pt>
                <c:pt idx="22">
                  <c:v>2025-05-14</c:v>
                </c:pt>
                <c:pt idx="23">
                  <c:v>2025-05-15</c:v>
                </c:pt>
                <c:pt idx="24">
                  <c:v>2025-05-02</c:v>
                </c:pt>
                <c:pt idx="25">
                  <c:v>2025-05-30</c:v>
                </c:pt>
                <c:pt idx="26">
                  <c:v>2025-05-29</c:v>
                </c:pt>
                <c:pt idx="27">
                  <c:v>2025-05-26</c:v>
                </c:pt>
                <c:pt idx="28">
                  <c:v>2025-05-22</c:v>
                </c:pt>
                <c:pt idx="29">
                  <c:v>2025-05-08</c:v>
                </c:pt>
              </c:strCache>
            </c:strRef>
          </c:cat>
          <c:val>
            <c:numRef>
              <c:f>MONTHLY_TREND!$B$4:$B$34</c:f>
              <c:numCache>
                <c:formatCode>General</c:formatCode>
                <c:ptCount val="30"/>
                <c:pt idx="0">
                  <c:v>7</c:v>
                </c:pt>
                <c:pt idx="1">
                  <c:v>5</c:v>
                </c:pt>
                <c:pt idx="2">
                  <c:v>5</c:v>
                </c:pt>
                <c:pt idx="3">
                  <c:v>5</c:v>
                </c:pt>
                <c:pt idx="4">
                  <c:v>4</c:v>
                </c:pt>
                <c:pt idx="5">
                  <c:v>4</c:v>
                </c:pt>
                <c:pt idx="6">
                  <c:v>4</c:v>
                </c:pt>
                <c:pt idx="7">
                  <c:v>4</c:v>
                </c:pt>
                <c:pt idx="8">
                  <c:v>4</c:v>
                </c:pt>
                <c:pt idx="9">
                  <c:v>4</c:v>
                </c:pt>
                <c:pt idx="10">
                  <c:v>3</c:v>
                </c:pt>
                <c:pt idx="11">
                  <c:v>3</c:v>
                </c:pt>
                <c:pt idx="12">
                  <c:v>3</c:v>
                </c:pt>
                <c:pt idx="13">
                  <c:v>3</c:v>
                </c:pt>
                <c:pt idx="14">
                  <c:v>2</c:v>
                </c:pt>
                <c:pt idx="15">
                  <c:v>2</c:v>
                </c:pt>
                <c:pt idx="16">
                  <c:v>2</c:v>
                </c:pt>
                <c:pt idx="17">
                  <c:v>2</c:v>
                </c:pt>
                <c:pt idx="18">
                  <c:v>2</c:v>
                </c:pt>
                <c:pt idx="19">
                  <c:v>2</c:v>
                </c:pt>
                <c:pt idx="20">
                  <c:v>2</c:v>
                </c:pt>
                <c:pt idx="21">
                  <c:v>2</c:v>
                </c:pt>
                <c:pt idx="22">
                  <c:v>2</c:v>
                </c:pt>
                <c:pt idx="23">
                  <c:v>2</c:v>
                </c:pt>
                <c:pt idx="24">
                  <c:v>1</c:v>
                </c:pt>
                <c:pt idx="25">
                  <c:v>1</c:v>
                </c:pt>
                <c:pt idx="26">
                  <c:v>1</c:v>
                </c:pt>
                <c:pt idx="27">
                  <c:v>1</c:v>
                </c:pt>
                <c:pt idx="28">
                  <c:v>1</c:v>
                </c:pt>
                <c:pt idx="29">
                  <c:v>1</c:v>
                </c:pt>
              </c:numCache>
            </c:numRef>
          </c:val>
          <c:smooth val="0"/>
          <c:extLst>
            <c:ext xmlns:c16="http://schemas.microsoft.com/office/drawing/2014/chart" uri="{C3380CC4-5D6E-409C-BE32-E72D297353CC}">
              <c16:uniqueId val="{00000000-DDD0-4D97-A8BC-2FEF0C40BB0A}"/>
            </c:ext>
          </c:extLst>
        </c:ser>
        <c:dLbls>
          <c:showLegendKey val="0"/>
          <c:showVal val="0"/>
          <c:showCatName val="0"/>
          <c:showSerName val="0"/>
          <c:showPercent val="0"/>
          <c:showBubbleSize val="0"/>
        </c:dLbls>
        <c:marker val="1"/>
        <c:smooth val="0"/>
        <c:axId val="1051021503"/>
        <c:axId val="1051019583"/>
      </c:lineChart>
      <c:catAx>
        <c:axId val="105102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95000"/>
                    <a:lumOff val="5000"/>
                  </a:schemeClr>
                </a:solidFill>
                <a:latin typeface="Bahnschrift SemiBold" panose="020B0502040204020203" pitchFamily="34" charset="0"/>
                <a:ea typeface="+mn-ea"/>
                <a:cs typeface="+mn-cs"/>
              </a:defRPr>
            </a:pPr>
            <a:endParaRPr lang="en-US"/>
          </a:p>
        </c:txPr>
        <c:crossAx val="1051019583"/>
        <c:crosses val="autoZero"/>
        <c:auto val="1"/>
        <c:lblAlgn val="ctr"/>
        <c:lblOffset val="100"/>
        <c:noMultiLvlLbl val="0"/>
      </c:catAx>
      <c:valAx>
        <c:axId val="1051019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95000"/>
                    <a:lumOff val="5000"/>
                  </a:schemeClr>
                </a:solidFill>
                <a:latin typeface="Bahnschrift SemiBold" panose="020B0502040204020203" pitchFamily="34" charset="0"/>
                <a:ea typeface="+mn-ea"/>
                <a:cs typeface="+mn-cs"/>
              </a:defRPr>
            </a:pPr>
            <a:endParaRPr lang="en-US"/>
          </a:p>
        </c:txPr>
        <c:crossAx val="105102150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rnd" cmpd="sng" algn="ctr">
      <a:solidFill>
        <a:schemeClr val="bg1">
          <a:lumMod val="50000"/>
          <a:alpha val="93000"/>
        </a:schemeClr>
      </a:solidFill>
      <a:round/>
    </a:ln>
    <a:effectLst>
      <a:glow rad="139700">
        <a:schemeClr val="bg1">
          <a:lumMod val="50000"/>
        </a:schemeClr>
      </a:glow>
      <a:innerShdw blurRad="114300">
        <a:schemeClr val="bg1">
          <a:lumMod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[Employee Attendance Tracker Dashboard.xlsx]DAILY_ATTENDANCE!PivotTable1</c:name>
    <c:fmtId val="10"/>
  </c:pivotSource>
  <c:chart>
    <c:title>
      <c:tx>
        <c:rich>
          <a:bodyPr rot="0" spcFirstLastPara="1" vertOverflow="ellipsis" vert="horz" wrap="square" anchor="ctr" anchorCtr="1"/>
          <a:lstStyle/>
          <a:p>
            <a:pPr algn="ctr">
              <a:defRPr sz="2000" b="1" i="0" u="none" strike="noStrike" kern="1200" baseline="0">
                <a:solidFill>
                  <a:schemeClr val="tx1">
                    <a:lumMod val="95000"/>
                    <a:lumOff val="5000"/>
                  </a:schemeClr>
                </a:solidFill>
                <a:latin typeface="+mn-lt"/>
                <a:ea typeface="+mn-ea"/>
                <a:cs typeface="+mn-cs"/>
              </a:defRPr>
            </a:pPr>
            <a:r>
              <a:rPr lang="en-IN" sz="2000" b="1" i="0" u="none" strike="noStrike" baseline="0">
                <a:solidFill>
                  <a:schemeClr val="tx1">
                    <a:lumMod val="95000"/>
                    <a:lumOff val="5000"/>
                  </a:schemeClr>
                </a:solidFill>
              </a:rPr>
              <a:t>DAILY ATTENDANCE OVERVIEW</a:t>
            </a:r>
            <a:endParaRPr lang="en-IN" sz="2000" baseline="0">
              <a:solidFill>
                <a:schemeClr val="tx1">
                  <a:lumMod val="95000"/>
                  <a:lumOff val="5000"/>
                </a:schemeClr>
              </a:solidFill>
            </a:endParaRPr>
          </a:p>
        </c:rich>
      </c:tx>
      <c:layout>
        <c:manualLayout>
          <c:xMode val="edge"/>
          <c:yMode val="edge"/>
          <c:x val="0.13226166173359852"/>
          <c:y val="6.1778145642728786E-2"/>
        </c:manualLayout>
      </c:layout>
      <c:overlay val="0"/>
      <c:spPr>
        <a:noFill/>
        <a:ln>
          <a:noFill/>
        </a:ln>
        <a:effectLst/>
      </c:spPr>
      <c:txPr>
        <a:bodyPr rot="0" spcFirstLastPara="1" vertOverflow="ellipsis" vert="horz" wrap="square" anchor="ctr" anchorCtr="1"/>
        <a:lstStyle/>
        <a:p>
          <a:pPr algn="ctr">
            <a:defRPr sz="2000" b="1" i="0" u="none" strike="noStrike" kern="1200" baseline="0">
              <a:solidFill>
                <a:schemeClr val="tx1">
                  <a:lumMod val="95000"/>
                  <a:lumOff val="5000"/>
                </a:schemeClr>
              </a:solidFill>
              <a:latin typeface="+mn-lt"/>
              <a:ea typeface="+mn-ea"/>
              <a:cs typeface="+mn-cs"/>
            </a:defRPr>
          </a:pPr>
          <a:endParaRPr lang="en-IN"/>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DAILY_ATTENDANCE!$B$2:$B$3</c:f>
              <c:strCache>
                <c:ptCount val="1"/>
                <c:pt idx="0">
                  <c:v>Late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invertIfNegative val="0"/>
          <c:cat>
            <c:strRef>
              <c:f>DAILY_ATTENDANCE!$A$4:$A$34</c:f>
              <c:strCache>
                <c:ptCount val="30"/>
                <c:pt idx="0">
                  <c:v>2025-05-01</c:v>
                </c:pt>
                <c:pt idx="1">
                  <c:v>2025-05-02</c:v>
                </c:pt>
                <c:pt idx="2">
                  <c:v>2025-05-03</c:v>
                </c:pt>
                <c:pt idx="3">
                  <c:v>2025-05-04</c:v>
                </c:pt>
                <c:pt idx="4">
                  <c:v>2025-05-05</c:v>
                </c:pt>
                <c:pt idx="5">
                  <c:v>2025-05-06</c:v>
                </c:pt>
                <c:pt idx="6">
                  <c:v>2025-05-07</c:v>
                </c:pt>
                <c:pt idx="7">
                  <c:v>2025-05-08</c:v>
                </c:pt>
                <c:pt idx="8">
                  <c:v>2025-05-09</c:v>
                </c:pt>
                <c:pt idx="9">
                  <c:v>2025-05-10</c:v>
                </c:pt>
                <c:pt idx="10">
                  <c:v>2025-05-11</c:v>
                </c:pt>
                <c:pt idx="11">
                  <c:v>2025-05-12</c:v>
                </c:pt>
                <c:pt idx="12">
                  <c:v>2025-05-13</c:v>
                </c:pt>
                <c:pt idx="13">
                  <c:v>2025-05-14</c:v>
                </c:pt>
                <c:pt idx="14">
                  <c:v>2025-05-15</c:v>
                </c:pt>
                <c:pt idx="15">
                  <c:v>2025-05-16</c:v>
                </c:pt>
                <c:pt idx="16">
                  <c:v>2025-05-17</c:v>
                </c:pt>
                <c:pt idx="17">
                  <c:v>2025-05-18</c:v>
                </c:pt>
                <c:pt idx="18">
                  <c:v>2025-05-19</c:v>
                </c:pt>
                <c:pt idx="19">
                  <c:v>2025-05-20</c:v>
                </c:pt>
                <c:pt idx="20">
                  <c:v>2025-05-21</c:v>
                </c:pt>
                <c:pt idx="21">
                  <c:v>2025-05-22</c:v>
                </c:pt>
                <c:pt idx="22">
                  <c:v>2025-05-23</c:v>
                </c:pt>
                <c:pt idx="23">
                  <c:v>2025-05-24</c:v>
                </c:pt>
                <c:pt idx="24">
                  <c:v>2025-05-25</c:v>
                </c:pt>
                <c:pt idx="25">
                  <c:v>2025-05-26</c:v>
                </c:pt>
                <c:pt idx="26">
                  <c:v>2025-05-27</c:v>
                </c:pt>
                <c:pt idx="27">
                  <c:v>2025-05-28</c:v>
                </c:pt>
                <c:pt idx="28">
                  <c:v>2025-05-29</c:v>
                </c:pt>
                <c:pt idx="29">
                  <c:v>2025-05-30</c:v>
                </c:pt>
              </c:strCache>
            </c:strRef>
          </c:cat>
          <c:val>
            <c:numRef>
              <c:f>DAILY_ATTENDANCE!$B$4:$B$34</c:f>
              <c:numCache>
                <c:formatCode>General</c:formatCode>
                <c:ptCount val="30"/>
                <c:pt idx="0">
                  <c:v>2</c:v>
                </c:pt>
                <c:pt idx="1">
                  <c:v>1</c:v>
                </c:pt>
                <c:pt idx="2">
                  <c:v>5</c:v>
                </c:pt>
                <c:pt idx="3">
                  <c:v>2</c:v>
                </c:pt>
                <c:pt idx="4">
                  <c:v>2</c:v>
                </c:pt>
                <c:pt idx="5">
                  <c:v>7</c:v>
                </c:pt>
                <c:pt idx="6">
                  <c:v>4</c:v>
                </c:pt>
                <c:pt idx="7">
                  <c:v>1</c:v>
                </c:pt>
                <c:pt idx="8">
                  <c:v>3</c:v>
                </c:pt>
                <c:pt idx="9">
                  <c:v>4</c:v>
                </c:pt>
                <c:pt idx="10">
                  <c:v>3</c:v>
                </c:pt>
                <c:pt idx="11">
                  <c:v>5</c:v>
                </c:pt>
                <c:pt idx="12">
                  <c:v>2</c:v>
                </c:pt>
                <c:pt idx="13">
                  <c:v>2</c:v>
                </c:pt>
                <c:pt idx="14">
                  <c:v>2</c:v>
                </c:pt>
                <c:pt idx="15">
                  <c:v>2</c:v>
                </c:pt>
                <c:pt idx="16">
                  <c:v>4</c:v>
                </c:pt>
                <c:pt idx="17">
                  <c:v>3</c:v>
                </c:pt>
                <c:pt idx="18">
                  <c:v>3</c:v>
                </c:pt>
                <c:pt idx="19">
                  <c:v>4</c:v>
                </c:pt>
                <c:pt idx="20">
                  <c:v>2</c:v>
                </c:pt>
                <c:pt idx="21">
                  <c:v>1</c:v>
                </c:pt>
                <c:pt idx="22">
                  <c:v>2</c:v>
                </c:pt>
                <c:pt idx="23">
                  <c:v>2</c:v>
                </c:pt>
                <c:pt idx="24">
                  <c:v>4</c:v>
                </c:pt>
                <c:pt idx="25">
                  <c:v>1</c:v>
                </c:pt>
                <c:pt idx="26">
                  <c:v>4</c:v>
                </c:pt>
                <c:pt idx="27">
                  <c:v>5</c:v>
                </c:pt>
                <c:pt idx="28">
                  <c:v>1</c:v>
                </c:pt>
                <c:pt idx="29">
                  <c:v>1</c:v>
                </c:pt>
              </c:numCache>
            </c:numRef>
          </c:val>
          <c:extLst>
            <c:ext xmlns:c16="http://schemas.microsoft.com/office/drawing/2014/chart" uri="{C3380CC4-5D6E-409C-BE32-E72D297353CC}">
              <c16:uniqueId val="{00000000-95CF-4DDD-B9CF-B75ECAC86C75}"/>
            </c:ext>
          </c:extLst>
        </c:ser>
        <c:dLbls>
          <c:showLegendKey val="0"/>
          <c:showVal val="0"/>
          <c:showCatName val="0"/>
          <c:showSerName val="0"/>
          <c:showPercent val="0"/>
          <c:showBubbleSize val="0"/>
        </c:dLbls>
        <c:gapWidth val="150"/>
        <c:shape val="box"/>
        <c:axId val="1843821391"/>
        <c:axId val="1843805551"/>
        <c:axId val="0"/>
      </c:bar3DChart>
      <c:catAx>
        <c:axId val="184382139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Bahnschrift SemiBold" panose="020B0502040204020203" pitchFamily="34" charset="0"/>
                <a:ea typeface="+mn-ea"/>
                <a:cs typeface="+mn-cs"/>
              </a:defRPr>
            </a:pPr>
            <a:endParaRPr lang="en-US"/>
          </a:p>
        </c:txPr>
        <c:crossAx val="1843805551"/>
        <c:crosses val="autoZero"/>
        <c:auto val="1"/>
        <c:lblAlgn val="ctr"/>
        <c:lblOffset val="100"/>
        <c:noMultiLvlLbl val="0"/>
      </c:catAx>
      <c:valAx>
        <c:axId val="1843805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Bahnschrift SemiBold" panose="020B0502040204020203" pitchFamily="34" charset="0"/>
                <a:ea typeface="+mn-ea"/>
                <a:cs typeface="+mn-cs"/>
              </a:defRPr>
            </a:pPr>
            <a:endParaRPr lang="en-US"/>
          </a:p>
        </c:txPr>
        <c:crossAx val="1843821391"/>
        <c:crosses val="autoZero"/>
        <c:crossBetween val="between"/>
      </c:valAx>
      <c:spPr>
        <a:noFill/>
        <a:ln>
          <a:noFill/>
        </a:ln>
        <a:effectLst/>
      </c:spPr>
    </c:plotArea>
    <c:legend>
      <c:legendPos val="r"/>
      <c:layout>
        <c:manualLayout>
          <c:xMode val="edge"/>
          <c:yMode val="edge"/>
          <c:x val="0.83934581657335172"/>
          <c:y val="0.22856415675313316"/>
          <c:w val="0.128335337452753"/>
          <c:h val="0.4150934956539483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95000"/>
                  <a:lumOff val="5000"/>
                </a:schemeClr>
              </a:solidFill>
              <a:latin typeface="Bahnschrift SemiBold"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sng" algn="ctr">
      <a:solidFill>
        <a:schemeClr val="bg1">
          <a:lumMod val="50000"/>
          <a:alpha val="93000"/>
        </a:schemeClr>
      </a:solidFill>
      <a:round/>
    </a:ln>
    <a:effectLst>
      <a:glow rad="139700">
        <a:schemeClr val="bg1">
          <a:lumMod val="50000"/>
        </a:schemeClr>
      </a:glow>
      <a:innerShdw blurRad="114300">
        <a:schemeClr val="bg1">
          <a:lumMod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[Employee Attendance Tracker Dashboard.xlsx]DEPARTMENT_ABSENTEEISM!PivotTable2</c:name>
    <c:fmtId val="17"/>
  </c:pivotSource>
  <c:chart>
    <c:title>
      <c:tx>
        <c:rich>
          <a:bodyPr rot="0" spcFirstLastPara="1" vertOverflow="ellipsis" vert="horz" wrap="square" anchor="ctr" anchorCtr="1"/>
          <a:lstStyle/>
          <a:p>
            <a:pPr>
              <a:defRPr sz="1400" b="1" i="0" u="none" strike="noStrike" kern="1200" cap="all" baseline="0">
                <a:solidFill>
                  <a:schemeClr val="tx1">
                    <a:lumMod val="95000"/>
                    <a:lumOff val="5000"/>
                  </a:schemeClr>
                </a:solidFill>
                <a:latin typeface="+mn-lt"/>
                <a:ea typeface="+mn-ea"/>
                <a:cs typeface="+mn-cs"/>
              </a:defRPr>
            </a:pPr>
            <a:r>
              <a:rPr lang="en-IN" sz="1400" b="1">
                <a:solidFill>
                  <a:schemeClr val="tx1">
                    <a:lumMod val="95000"/>
                    <a:lumOff val="5000"/>
                  </a:schemeClr>
                </a:solidFill>
                <a:effectLst/>
              </a:rPr>
              <a:t> </a:t>
            </a:r>
          </a:p>
          <a:p>
            <a:pPr>
              <a:defRPr sz="1400" b="1">
                <a:solidFill>
                  <a:schemeClr val="tx1">
                    <a:lumMod val="95000"/>
                    <a:lumOff val="5000"/>
                  </a:schemeClr>
                </a:solidFill>
              </a:defRPr>
            </a:pPr>
            <a:r>
              <a:rPr lang="en-IN" sz="1400" b="1">
                <a:solidFill>
                  <a:schemeClr val="tx1">
                    <a:lumMod val="95000"/>
                    <a:lumOff val="5000"/>
                  </a:schemeClr>
                </a:solidFill>
                <a:effectLst/>
                <a:latin typeface="Arial Rounded MT Bold" panose="020F0704030504030204" pitchFamily="34" charset="0"/>
              </a:rPr>
              <a:t>DEPARTMENT-WISE ABSENTEEISM</a:t>
            </a:r>
          </a:p>
          <a:p>
            <a:pPr>
              <a:defRPr sz="1400" b="1">
                <a:solidFill>
                  <a:schemeClr val="tx1">
                    <a:lumMod val="95000"/>
                    <a:lumOff val="5000"/>
                  </a:schemeClr>
                </a:solidFill>
              </a:defRPr>
            </a:pPr>
            <a:endParaRPr lang="en-IN" sz="1400" b="1" baseline="0">
              <a:solidFill>
                <a:schemeClr val="tx1">
                  <a:lumMod val="95000"/>
                  <a:lumOff val="5000"/>
                </a:schemeClr>
              </a:solidFill>
            </a:endParaRPr>
          </a:p>
        </c:rich>
      </c:tx>
      <c:layout>
        <c:manualLayout>
          <c:xMode val="edge"/>
          <c:yMode val="edge"/>
          <c:x val="0.2877127579554824"/>
          <c:y val="2.3391812865497075E-2"/>
        </c:manualLayout>
      </c:layout>
      <c:overlay val="0"/>
      <c:spPr>
        <a:noFill/>
        <a:ln>
          <a:noFill/>
        </a:ln>
        <a:effectLst/>
      </c:spPr>
      <c:txPr>
        <a:bodyPr rot="0" spcFirstLastPara="1" vertOverflow="ellipsis" vert="horz" wrap="square" anchor="ctr" anchorCtr="1"/>
        <a:lstStyle/>
        <a:p>
          <a:pPr>
            <a:defRPr sz="1400" b="1" i="0" u="none" strike="noStrike" kern="1200" cap="all"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4537278403339516E-2"/>
          <c:y val="0.10912390168150334"/>
          <c:w val="0.87603683498607043"/>
          <c:h val="0.78534427142573493"/>
        </c:manualLayout>
      </c:layout>
      <c:bar3DChart>
        <c:barDir val="col"/>
        <c:grouping val="standard"/>
        <c:varyColors val="0"/>
        <c:ser>
          <c:idx val="0"/>
          <c:order val="0"/>
          <c:tx>
            <c:strRef>
              <c:f>DEPARTMENT_ABSENTEEISM!$B$4</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DEPARTMENT_ABSENTEEISM!$A$5:$A$10</c:f>
              <c:strCache>
                <c:ptCount val="5"/>
                <c:pt idx="0">
                  <c:v>HR</c:v>
                </c:pt>
                <c:pt idx="1">
                  <c:v>Marketing</c:v>
                </c:pt>
                <c:pt idx="2">
                  <c:v>IT</c:v>
                </c:pt>
                <c:pt idx="3">
                  <c:v>Finance</c:v>
                </c:pt>
                <c:pt idx="4">
                  <c:v>Operations</c:v>
                </c:pt>
              </c:strCache>
            </c:strRef>
          </c:cat>
          <c:val>
            <c:numRef>
              <c:f>DEPARTMENT_ABSENTEEISM!$B$5:$B$10</c:f>
              <c:numCache>
                <c:formatCode>General</c:formatCode>
                <c:ptCount val="5"/>
                <c:pt idx="0">
                  <c:v>24</c:v>
                </c:pt>
                <c:pt idx="1">
                  <c:v>16</c:v>
                </c:pt>
                <c:pt idx="2">
                  <c:v>16</c:v>
                </c:pt>
                <c:pt idx="3">
                  <c:v>15</c:v>
                </c:pt>
                <c:pt idx="4">
                  <c:v>13</c:v>
                </c:pt>
              </c:numCache>
            </c:numRef>
          </c:val>
          <c:extLst>
            <c:ext xmlns:c16="http://schemas.microsoft.com/office/drawing/2014/chart" uri="{C3380CC4-5D6E-409C-BE32-E72D297353CC}">
              <c16:uniqueId val="{00000000-A956-45C7-84BD-0C66B00A0B88}"/>
            </c:ext>
          </c:extLst>
        </c:ser>
        <c:dLbls>
          <c:showLegendKey val="0"/>
          <c:showVal val="1"/>
          <c:showCatName val="0"/>
          <c:showSerName val="0"/>
          <c:showPercent val="0"/>
          <c:showBubbleSize val="0"/>
        </c:dLbls>
        <c:gapWidth val="84"/>
        <c:gapDepth val="53"/>
        <c:shape val="box"/>
        <c:axId val="1050999903"/>
        <c:axId val="1051003743"/>
        <c:axId val="1381512271"/>
      </c:bar3DChart>
      <c:valAx>
        <c:axId val="1051003743"/>
        <c:scaling>
          <c:orientation val="minMax"/>
        </c:scaling>
        <c:delete val="1"/>
        <c:axPos val="l"/>
        <c:numFmt formatCode="General" sourceLinked="1"/>
        <c:majorTickMark val="out"/>
        <c:minorTickMark val="none"/>
        <c:tickLblPos val="nextTo"/>
        <c:crossAx val="1050999903"/>
        <c:crosses val="autoZero"/>
        <c:crossBetween val="between"/>
      </c:valAx>
      <c:catAx>
        <c:axId val="1050999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95000"/>
                    <a:lumOff val="5000"/>
                  </a:schemeClr>
                </a:solidFill>
                <a:latin typeface="Bahnschrift SemiBold" panose="020B0502040204020203" pitchFamily="34" charset="0"/>
                <a:ea typeface="+mn-ea"/>
                <a:cs typeface="+mn-cs"/>
              </a:defRPr>
            </a:pPr>
            <a:endParaRPr lang="en-US"/>
          </a:p>
        </c:txPr>
        <c:crossAx val="1051003743"/>
        <c:crosses val="autoZero"/>
        <c:auto val="1"/>
        <c:lblAlgn val="ctr"/>
        <c:lblOffset val="100"/>
        <c:noMultiLvlLbl val="0"/>
      </c:catAx>
      <c:serAx>
        <c:axId val="1381512271"/>
        <c:scaling>
          <c:orientation val="minMax"/>
        </c:scaling>
        <c:delete val="1"/>
        <c:axPos val="b"/>
        <c:majorTickMark val="none"/>
        <c:minorTickMark val="none"/>
        <c:tickLblPos val="nextTo"/>
        <c:crossAx val="1051003743"/>
        <c:crosses val="autoZero"/>
      </c:ser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sng" algn="ctr">
      <a:solidFill>
        <a:schemeClr val="bg1">
          <a:lumMod val="50000"/>
          <a:alpha val="93000"/>
        </a:schemeClr>
      </a:solidFill>
      <a:round/>
    </a:ln>
    <a:effectLst>
      <a:glow rad="139700">
        <a:schemeClr val="accent3">
          <a:satMod val="175000"/>
        </a:schemeClr>
      </a:glow>
      <a:innerShdw blurRad="114300">
        <a:schemeClr val="bg1">
          <a:lumMod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Attendance Tracker Dashboard.xlsx]PUNCTUAL_EMPLOYEES!PivotTable1</c:name>
    <c:fmtId val="9"/>
  </c:pivotSource>
  <c:chart>
    <c:title>
      <c:tx>
        <c:rich>
          <a:bodyPr rot="0" spcFirstLastPara="1" vertOverflow="ellipsis" vert="horz" wrap="square" anchor="ctr" anchorCtr="1"/>
          <a:lstStyle/>
          <a:p>
            <a:pPr>
              <a:defRPr sz="2000" b="1" i="0" u="dotted" strike="noStrike" kern="1200" baseline="0">
                <a:solidFill>
                  <a:schemeClr val="tx1"/>
                </a:solidFill>
                <a:uFill>
                  <a:solidFill>
                    <a:schemeClr val="bg1"/>
                  </a:solidFill>
                </a:uFill>
                <a:latin typeface="Arial Rounded MT Bold" panose="020F0704030504030204" pitchFamily="34" charset="0"/>
                <a:ea typeface="+mn-ea"/>
                <a:cs typeface="+mn-cs"/>
              </a:defRPr>
            </a:pPr>
            <a:r>
              <a:rPr lang="en-US" sz="2000" b="1" i="0" u="dotted" strike="noStrike" kern="1200" baseline="0">
                <a:solidFill>
                  <a:schemeClr val="tx1"/>
                </a:solidFill>
                <a:uFill>
                  <a:solidFill>
                    <a:schemeClr val="bg1"/>
                  </a:solidFill>
                </a:uFill>
                <a:latin typeface="Arial Rounded MT Bold" panose="020F0704030504030204" pitchFamily="34" charset="0"/>
                <a:ea typeface="+mn-ea"/>
                <a:cs typeface="+mn-cs"/>
              </a:rPr>
              <a:t>MOST</a:t>
            </a:r>
            <a:r>
              <a:rPr lang="en-US" sz="2000" u="dotted" baseline="0">
                <a:solidFill>
                  <a:schemeClr val="tx1"/>
                </a:solidFill>
                <a:uFill>
                  <a:solidFill>
                    <a:schemeClr val="bg1"/>
                  </a:solidFill>
                </a:uFill>
                <a:latin typeface="Arial Rounded MT Bold" panose="020F0704030504030204" pitchFamily="34" charset="0"/>
              </a:rPr>
              <a:t> PUNCTUAL EMPLOYEES</a:t>
            </a:r>
          </a:p>
        </c:rich>
      </c:tx>
      <c:layout>
        <c:manualLayout>
          <c:xMode val="edge"/>
          <c:yMode val="edge"/>
          <c:x val="0.22240269811317437"/>
          <c:y val="4.9714948422144904E-2"/>
        </c:manualLayout>
      </c:layout>
      <c:overlay val="0"/>
      <c:spPr>
        <a:noFill/>
        <a:ln>
          <a:noFill/>
        </a:ln>
        <a:effectLst/>
      </c:spPr>
      <c:txPr>
        <a:bodyPr rot="0" spcFirstLastPara="1" vertOverflow="ellipsis" vert="horz" wrap="square" anchor="ctr" anchorCtr="1"/>
        <a:lstStyle/>
        <a:p>
          <a:pPr>
            <a:defRPr sz="2000" b="1" i="0" u="dotted" strike="noStrike" kern="1200" baseline="0">
              <a:solidFill>
                <a:schemeClr val="tx1"/>
              </a:solidFill>
              <a:uFill>
                <a:solidFill>
                  <a:schemeClr val="bg1"/>
                </a:solidFill>
              </a:u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rial Rounded MT Bold" panose="020F070403050403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rial Rounded MT Bold" panose="020F070403050403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rial Rounded MT Bold" panose="020F070403050403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PUNCTUAL_EMPLOYEES!$B$4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621-40DD-9809-C4A1F44E3FD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621-40DD-9809-C4A1F44E3FD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621-40DD-9809-C4A1F44E3FD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621-40DD-9809-C4A1F44E3FDB}"/>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B621-40DD-9809-C4A1F44E3FDB}"/>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B621-40DD-9809-C4A1F44E3FDB}"/>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B621-40DD-9809-C4A1F44E3FDB}"/>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B621-40DD-9809-C4A1F44E3FDB}"/>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B621-40DD-9809-C4A1F44E3FDB}"/>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B621-40DD-9809-C4A1F44E3FDB}"/>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rial Rounded MT Bold" panose="020F0704030504030204" pitchFamily="34"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PUNCTUAL_EMPLOYEES!$A$5:$A$15</c:f>
              <c:strCache>
                <c:ptCount val="10"/>
                <c:pt idx="0">
                  <c:v>Fatou Jobe</c:v>
                </c:pt>
                <c:pt idx="1">
                  <c:v>Mariama Bah</c:v>
                </c:pt>
                <c:pt idx="2">
                  <c:v>Ousman Jatta</c:v>
                </c:pt>
                <c:pt idx="3">
                  <c:v>Modou Cham</c:v>
                </c:pt>
                <c:pt idx="4">
                  <c:v>Saffie Joof</c:v>
                </c:pt>
                <c:pt idx="5">
                  <c:v>Lamin Sowe</c:v>
                </c:pt>
                <c:pt idx="6">
                  <c:v>Jainaba Ceesay</c:v>
                </c:pt>
                <c:pt idx="7">
                  <c:v>Awa Sanyang</c:v>
                </c:pt>
                <c:pt idx="8">
                  <c:v>Ismaila Camara</c:v>
                </c:pt>
                <c:pt idx="9">
                  <c:v>Ebrima Touray</c:v>
                </c:pt>
              </c:strCache>
            </c:strRef>
          </c:cat>
          <c:val>
            <c:numRef>
              <c:f>PUNCTUAL_EMPLOYEES!$B$5:$B$15</c:f>
              <c:numCache>
                <c:formatCode>General</c:formatCode>
                <c:ptCount val="10"/>
                <c:pt idx="0">
                  <c:v>13</c:v>
                </c:pt>
                <c:pt idx="1">
                  <c:v>11</c:v>
                </c:pt>
                <c:pt idx="2">
                  <c:v>11</c:v>
                </c:pt>
                <c:pt idx="3">
                  <c:v>10</c:v>
                </c:pt>
                <c:pt idx="4">
                  <c:v>8</c:v>
                </c:pt>
                <c:pt idx="5">
                  <c:v>8</c:v>
                </c:pt>
                <c:pt idx="6">
                  <c:v>8</c:v>
                </c:pt>
                <c:pt idx="7">
                  <c:v>7</c:v>
                </c:pt>
                <c:pt idx="8">
                  <c:v>5</c:v>
                </c:pt>
                <c:pt idx="9">
                  <c:v>3</c:v>
                </c:pt>
              </c:numCache>
            </c:numRef>
          </c:val>
          <c:extLst>
            <c:ext xmlns:c16="http://schemas.microsoft.com/office/drawing/2014/chart" uri="{C3380CC4-5D6E-409C-BE32-E72D297353CC}">
              <c16:uniqueId val="{00000014-B621-40DD-9809-C4A1F44E3FDB}"/>
            </c:ext>
          </c:extLst>
        </c:ser>
        <c:dLbls>
          <c:showLegendKey val="0"/>
          <c:showVal val="1"/>
          <c:showCatName val="0"/>
          <c:showSerName val="0"/>
          <c:showPercent val="0"/>
          <c:showBubbleSize val="0"/>
          <c:showLeaderLines val="1"/>
        </c:dLbls>
        <c:firstSliceAng val="123"/>
        <c:holeSize val="55"/>
      </c:doughnutChart>
      <c:spPr>
        <a:noFill/>
        <a:ln>
          <a:noFill/>
        </a:ln>
        <a:effectLst>
          <a:glow rad="228600">
            <a:schemeClr val="accent3">
              <a:satMod val="175000"/>
              <a:alpha val="40000"/>
            </a:schemeClr>
          </a:glow>
          <a:innerShdw blurRad="431800" dist="63500" dir="7800000">
            <a:schemeClr val="bg1">
              <a:lumMod val="50000"/>
            </a:schemeClr>
          </a:innerShdw>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1100" b="1" i="0" u="none" strike="noStrike" kern="1200" baseline="0">
              <a:solidFill>
                <a:schemeClr val="tx1"/>
              </a:solidFill>
              <a:latin typeface="Bahnschrift SemiBold"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sng" algn="ctr">
      <a:solidFill>
        <a:schemeClr val="bg1">
          <a:lumMod val="50000"/>
          <a:alpha val="93000"/>
        </a:schemeClr>
      </a:solidFill>
      <a:round/>
    </a:ln>
    <a:effectLst>
      <a:glow rad="139700">
        <a:schemeClr val="bg1">
          <a:lumMod val="50000"/>
        </a:schemeClr>
      </a:glow>
      <a:innerShdw blurRad="114300">
        <a:schemeClr val="bg1">
          <a:lumMod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Attendance Tracker Dashboard.xlsx]PUNCTUAL_DEPARTMENTS!PivotTable3</c:name>
    <c:fmtId val="5"/>
  </c:pivotSource>
  <c:chart>
    <c:title>
      <c:tx>
        <c:rich>
          <a:bodyPr rot="0" spcFirstLastPara="1" vertOverflow="ellipsis" vert="horz" wrap="square" anchor="ctr" anchorCtr="1"/>
          <a:lstStyle/>
          <a:p>
            <a:pPr>
              <a:defRPr sz="1600" b="1" i="0" u="none" strike="noStrike" kern="1200" cap="all" spc="50" baseline="0">
                <a:ln>
                  <a:noFill/>
                  <a:prstDash val="sysDot"/>
                </a:ln>
                <a:solidFill>
                  <a:schemeClr val="tx1">
                    <a:lumMod val="95000"/>
                    <a:lumOff val="5000"/>
                  </a:schemeClr>
                </a:solidFill>
                <a:latin typeface="Arial Rounded MT Bold" panose="020F0704030504030204" pitchFamily="34" charset="0"/>
                <a:ea typeface="+mn-ea"/>
                <a:cs typeface="+mn-cs"/>
              </a:defRPr>
            </a:pPr>
            <a:r>
              <a:rPr lang="en-IN" sz="1600" b="1" i="0" u="none" strike="noStrike" kern="1200" cap="all" spc="50" baseline="0">
                <a:ln>
                  <a:noFill/>
                  <a:prstDash val="sysDot"/>
                </a:ln>
                <a:solidFill>
                  <a:schemeClr val="tx1">
                    <a:lumMod val="95000"/>
                    <a:lumOff val="5000"/>
                  </a:schemeClr>
                </a:solidFill>
                <a:latin typeface="Arial Rounded MT Bold" panose="020F0704030504030204" pitchFamily="34" charset="0"/>
                <a:ea typeface="+mn-ea"/>
                <a:cs typeface="+mn-cs"/>
              </a:rPr>
              <a:t>MOST</a:t>
            </a:r>
            <a:r>
              <a:rPr lang="en-IN" sz="1600" b="1" i="0" u="none" strike="noStrike" cap="all" baseline="0">
                <a:ln>
                  <a:noFill/>
                  <a:prstDash val="sysDot"/>
                </a:ln>
                <a:solidFill>
                  <a:schemeClr val="tx1">
                    <a:lumMod val="95000"/>
                    <a:lumOff val="5000"/>
                  </a:schemeClr>
                </a:solidFill>
                <a:latin typeface="Arial Rounded MT Bold" panose="020F0704030504030204" pitchFamily="34" charset="0"/>
              </a:rPr>
              <a:t> PUNCTUAL DEPARTMENTS</a:t>
            </a:r>
            <a:endParaRPr lang="en-US" sz="1600">
              <a:ln>
                <a:noFill/>
                <a:prstDash val="sysDot"/>
              </a:ln>
              <a:solidFill>
                <a:schemeClr val="tx1">
                  <a:lumMod val="95000"/>
                  <a:lumOff val="5000"/>
                </a:schemeClr>
              </a:solidFill>
              <a:latin typeface="Arial Rounded MT Bold" panose="020F0704030504030204" pitchFamily="34" charset="0"/>
            </a:endParaRPr>
          </a:p>
        </c:rich>
      </c:tx>
      <c:layout>
        <c:manualLayout>
          <c:xMode val="edge"/>
          <c:yMode val="edge"/>
          <c:x val="0.26248212092754458"/>
          <c:y val="3.2411935350186487E-2"/>
        </c:manualLayout>
      </c:layout>
      <c:overlay val="0"/>
      <c:spPr>
        <a:noFill/>
        <a:ln>
          <a:noFill/>
        </a:ln>
        <a:effectLst>
          <a:innerShdw blurRad="114300">
            <a:schemeClr val="accent2">
              <a:lumMod val="75000"/>
            </a:schemeClr>
          </a:innerShdw>
        </a:effectLst>
      </c:spPr>
      <c:txPr>
        <a:bodyPr rot="0" spcFirstLastPara="1" vertOverflow="ellipsis" vert="horz" wrap="square" anchor="ctr" anchorCtr="1"/>
        <a:lstStyle/>
        <a:p>
          <a:pPr>
            <a:defRPr sz="1600" b="1" i="0" u="none" strike="noStrike" kern="1200" cap="all" spc="50" baseline="0">
              <a:ln>
                <a:noFill/>
                <a:prstDash val="sysDot"/>
              </a:ln>
              <a:solidFill>
                <a:schemeClr val="tx1">
                  <a:lumMod val="95000"/>
                  <a:lumOff val="5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Rounded MT Bold" panose="020F070403050403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8287459698975772"/>
              <c:y val="0.101995857816749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0190748031496073"/>
              <c:y val="-0.1669940215806357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9.5848073026886679E-2"/>
              <c:y val="-0.1983397217213842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6045440737288202"/>
              <c:y val="4.614745610280224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6.7264169482897998E-2"/>
              <c:y val="0.2073183254856688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Rounded MT Bold" panose="020F070403050403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8287459698975772"/>
              <c:y val="0.101995857816749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0190748031496073"/>
              <c:y val="-0.1669940215806357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9.5848073026886679E-2"/>
              <c:y val="-0.1983397217213842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6045440737288202"/>
              <c:y val="4.614745610280224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6.7264169482897998E-2"/>
              <c:y val="0.2073183254856688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Rounded MT Bold" panose="020F070403050403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016529329182689"/>
              <c:y val="-0.2046425611272275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6028761521088944"/>
              <c:y val="5.230418566100290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1135201123115419"/>
              <c:y val="-0.1588658654510292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6045440737288202"/>
              <c:y val="4.614745610280224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6.1062564853811875E-2"/>
              <c:y val="0.1810025556016023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862902320509324"/>
          <c:y val="0.16892561127227521"/>
          <c:w val="0.48468421080766128"/>
          <c:h val="0.78282877469263712"/>
        </c:manualLayout>
      </c:layout>
      <c:pieChart>
        <c:varyColors val="1"/>
        <c:ser>
          <c:idx val="0"/>
          <c:order val="0"/>
          <c:tx>
            <c:strRef>
              <c:f>PUNCTUAL_DEPARTMENTS!$B$5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4B8-47D2-A297-98DD449D047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4B8-47D2-A297-98DD449D047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4B8-47D2-A297-98DD449D047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4B8-47D2-A297-98DD449D047D}"/>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4B8-47D2-A297-98DD449D047D}"/>
              </c:ext>
            </c:extLst>
          </c:dPt>
          <c:dLbls>
            <c:dLbl>
              <c:idx val="0"/>
              <c:layout>
                <c:manualLayout>
                  <c:x val="-0.16028761521088944"/>
                  <c:y val="5.230418566100290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4B8-47D2-A297-98DD449D047D}"/>
                </c:ext>
              </c:extLst>
            </c:dLbl>
            <c:dLbl>
              <c:idx val="1"/>
              <c:layout>
                <c:manualLayout>
                  <c:x val="-0.12016529329182689"/>
                  <c:y val="-0.2046425611272275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4B8-47D2-A297-98DD449D047D}"/>
                </c:ext>
              </c:extLst>
            </c:dLbl>
            <c:dLbl>
              <c:idx val="2"/>
              <c:layout>
                <c:manualLayout>
                  <c:x val="0.11135201123115419"/>
                  <c:y val="-0.1588658654510292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4B8-47D2-A297-98DD449D047D}"/>
                </c:ext>
              </c:extLst>
            </c:dLbl>
            <c:dLbl>
              <c:idx val="3"/>
              <c:layout>
                <c:manualLayout>
                  <c:x val="0.16045440737288202"/>
                  <c:y val="4.614745610280224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4B8-47D2-A297-98DD449D047D}"/>
                </c:ext>
              </c:extLst>
            </c:dLbl>
            <c:dLbl>
              <c:idx val="4"/>
              <c:layout>
                <c:manualLayout>
                  <c:x val="6.1062564853811875E-2"/>
                  <c:y val="0.1810025556016023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4B8-47D2-A297-98DD449D047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Rounded MT Bold" panose="020F0704030504030204" pitchFamily="34" charset="0"/>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PUNCTUAL_DEPARTMENTS!$A$6:$A$11</c:f>
              <c:strCache>
                <c:ptCount val="5"/>
                <c:pt idx="0">
                  <c:v>HR</c:v>
                </c:pt>
                <c:pt idx="1">
                  <c:v>Marketing</c:v>
                </c:pt>
                <c:pt idx="2">
                  <c:v>IT</c:v>
                </c:pt>
                <c:pt idx="3">
                  <c:v>Finance</c:v>
                </c:pt>
                <c:pt idx="4">
                  <c:v>Operations</c:v>
                </c:pt>
              </c:strCache>
            </c:strRef>
          </c:cat>
          <c:val>
            <c:numRef>
              <c:f>PUNCTUAL_DEPARTMENTS!$B$6:$B$11</c:f>
              <c:numCache>
                <c:formatCode>General</c:formatCode>
                <c:ptCount val="5"/>
                <c:pt idx="0">
                  <c:v>24</c:v>
                </c:pt>
                <c:pt idx="1">
                  <c:v>16</c:v>
                </c:pt>
                <c:pt idx="2">
                  <c:v>16</c:v>
                </c:pt>
                <c:pt idx="3">
                  <c:v>15</c:v>
                </c:pt>
                <c:pt idx="4">
                  <c:v>13</c:v>
                </c:pt>
              </c:numCache>
            </c:numRef>
          </c:val>
          <c:extLst>
            <c:ext xmlns:c16="http://schemas.microsoft.com/office/drawing/2014/chart" uri="{C3380CC4-5D6E-409C-BE32-E72D297353CC}">
              <c16:uniqueId val="{0000000A-94B8-47D2-A297-98DD449D047D}"/>
            </c:ext>
          </c:extLst>
        </c:ser>
        <c:dLbls>
          <c:dLblPos val="inEnd"/>
          <c:showLegendKey val="0"/>
          <c:showVal val="0"/>
          <c:showCatName val="0"/>
          <c:showSerName val="0"/>
          <c:showPercent val="1"/>
          <c:showBubbleSize val="0"/>
          <c:showLeaderLines val="1"/>
        </c:dLbls>
        <c:firstSliceAng val="19"/>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ln>
                <a:noFill/>
              </a:ln>
              <a:solidFill>
                <a:schemeClr val="tx1">
                  <a:lumMod val="95000"/>
                  <a:lumOff val="5000"/>
                </a:schemeClr>
              </a:solidFill>
              <a:latin typeface="Bahnschrift SemiBold"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sng" algn="ctr">
      <a:solidFill>
        <a:schemeClr val="bg1">
          <a:lumMod val="50000"/>
          <a:alpha val="93000"/>
        </a:schemeClr>
      </a:solidFill>
      <a:round/>
    </a:ln>
    <a:effectLst>
      <a:glow rad="127000">
        <a:schemeClr val="bg1">
          <a:lumMod val="50000"/>
        </a:schemeClr>
      </a:glow>
      <a:outerShdw blurRad="50800" dist="50800" dir="5400000" algn="ctr" rotWithShape="0">
        <a:schemeClr val="bg1">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[Employee Attendance Tracker Dashboard.xlsx]MOST_ABSENT_DAY!PivotTable1</c:name>
    <c:fmtId val="5"/>
  </c:pivotSource>
  <c:chart>
    <c:title>
      <c:tx>
        <c:rich>
          <a:bodyPr rot="0" spcFirstLastPara="1" vertOverflow="ellipsis" vert="horz" wrap="square" anchor="ctr" anchorCtr="1"/>
          <a:lstStyle/>
          <a:p>
            <a:pPr>
              <a:defRPr sz="2000" b="1" i="0" u="none" strike="noStrike" kern="1200" baseline="0">
                <a:solidFill>
                  <a:schemeClr val="tx1">
                    <a:lumMod val="95000"/>
                    <a:lumOff val="5000"/>
                  </a:schemeClr>
                </a:solidFill>
                <a:latin typeface="Arial Rounded MT Bold" panose="020F0704030504030204" pitchFamily="34" charset="0"/>
                <a:ea typeface="+mn-ea"/>
                <a:cs typeface="+mn-cs"/>
              </a:defRPr>
            </a:pPr>
            <a:r>
              <a:rPr lang="en-IN" sz="2000" b="1" i="0" u="none" strike="noStrike" baseline="0">
                <a:solidFill>
                  <a:schemeClr val="tx1">
                    <a:lumMod val="95000"/>
                    <a:lumOff val="5000"/>
                  </a:schemeClr>
                </a:solidFill>
                <a:latin typeface="Arial Rounded MT Bold" panose="020F0704030504030204" pitchFamily="34" charset="0"/>
              </a:rPr>
              <a:t>DAY WITH MOST ABSENT</a:t>
            </a:r>
            <a:endParaRPr lang="en-US" sz="2000" baseline="0">
              <a:solidFill>
                <a:schemeClr val="tx1">
                  <a:lumMod val="95000"/>
                  <a:lumOff val="5000"/>
                </a:schemeClr>
              </a:solidFill>
              <a:latin typeface="Arial Rounded MT Bold" panose="020F0704030504030204" pitchFamily="34" charset="0"/>
            </a:endParaRPr>
          </a:p>
        </c:rich>
      </c:tx>
      <c:layout>
        <c:manualLayout>
          <c:xMode val="edge"/>
          <c:yMode val="edge"/>
          <c:x val="0.10026442668805756"/>
          <c:y val="5.9383727034120738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95000"/>
                  <a:lumOff val="5000"/>
                </a:schemeClr>
              </a:solidFill>
              <a:latin typeface="Arial Rounded MT Bold" panose="020F070403050403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MOST_ABSENT_DAY!$B$4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MOST_ABSENT_DAY!$A$5:$A$12</c:f>
              <c:strCache>
                <c:ptCount val="7"/>
                <c:pt idx="0">
                  <c:v>Tuesday</c:v>
                </c:pt>
                <c:pt idx="1">
                  <c:v>Saturday</c:v>
                </c:pt>
                <c:pt idx="2">
                  <c:v>Wednesday</c:v>
                </c:pt>
                <c:pt idx="3">
                  <c:v>Sunday</c:v>
                </c:pt>
                <c:pt idx="4">
                  <c:v>Monday</c:v>
                </c:pt>
                <c:pt idx="5">
                  <c:v>Friday</c:v>
                </c:pt>
                <c:pt idx="6">
                  <c:v>Thursday</c:v>
                </c:pt>
              </c:strCache>
            </c:strRef>
          </c:cat>
          <c:val>
            <c:numRef>
              <c:f>MOST_ABSENT_DAY!$B$5:$B$12</c:f>
              <c:numCache>
                <c:formatCode>General</c:formatCode>
                <c:ptCount val="7"/>
                <c:pt idx="0">
                  <c:v>17</c:v>
                </c:pt>
                <c:pt idx="1">
                  <c:v>15</c:v>
                </c:pt>
                <c:pt idx="2">
                  <c:v>13</c:v>
                </c:pt>
                <c:pt idx="3">
                  <c:v>12</c:v>
                </c:pt>
                <c:pt idx="4">
                  <c:v>11</c:v>
                </c:pt>
                <c:pt idx="5">
                  <c:v>9</c:v>
                </c:pt>
                <c:pt idx="6">
                  <c:v>7</c:v>
                </c:pt>
              </c:numCache>
            </c:numRef>
          </c:val>
          <c:extLst>
            <c:ext xmlns:c16="http://schemas.microsoft.com/office/drawing/2014/chart" uri="{C3380CC4-5D6E-409C-BE32-E72D297353CC}">
              <c16:uniqueId val="{00000000-0676-48B4-8FAA-6052B5891A4D}"/>
            </c:ext>
          </c:extLst>
        </c:ser>
        <c:dLbls>
          <c:showLegendKey val="0"/>
          <c:showVal val="0"/>
          <c:showCatName val="0"/>
          <c:showSerName val="0"/>
          <c:showPercent val="0"/>
          <c:showBubbleSize val="0"/>
        </c:dLbls>
        <c:gapWidth val="150"/>
        <c:shape val="box"/>
        <c:axId val="1050993663"/>
        <c:axId val="1051022463"/>
        <c:axId val="0"/>
      </c:bar3DChart>
      <c:catAx>
        <c:axId val="1050993663"/>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Bahnschrift SemiBold" panose="020B0502040204020203" pitchFamily="34" charset="0"/>
                <a:ea typeface="+mn-ea"/>
                <a:cs typeface="+mn-cs"/>
              </a:defRPr>
            </a:pPr>
            <a:endParaRPr lang="en-US"/>
          </a:p>
        </c:txPr>
        <c:crossAx val="1051022463"/>
        <c:crosses val="autoZero"/>
        <c:auto val="1"/>
        <c:lblAlgn val="ctr"/>
        <c:lblOffset val="100"/>
        <c:noMultiLvlLbl val="0"/>
      </c:catAx>
      <c:valAx>
        <c:axId val="10510224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Bahnschrift SemiBold" panose="020B0502040204020203" pitchFamily="34" charset="0"/>
                <a:ea typeface="+mn-ea"/>
                <a:cs typeface="+mn-cs"/>
              </a:defRPr>
            </a:pPr>
            <a:endParaRPr lang="en-US"/>
          </a:p>
        </c:txPr>
        <c:crossAx val="105099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sng" algn="ctr">
      <a:solidFill>
        <a:schemeClr val="bg1">
          <a:lumMod val="50000"/>
          <a:alpha val="93000"/>
        </a:schemeClr>
      </a:solidFill>
      <a:round/>
    </a:ln>
    <a:effectLst>
      <a:glow rad="139700">
        <a:schemeClr val="bg1">
          <a:lumMod val="50000"/>
        </a:schemeClr>
      </a:glow>
      <a:outerShdw blurRad="114300" sx="1000" sy="1000" algn="ctr" rotWithShape="0">
        <a:schemeClr val="bg1">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323849</xdr:colOff>
      <xdr:row>2</xdr:row>
      <xdr:rowOff>52385</xdr:rowOff>
    </xdr:from>
    <xdr:to>
      <xdr:col>13</xdr:col>
      <xdr:colOff>76200</xdr:colOff>
      <xdr:row>18</xdr:row>
      <xdr:rowOff>238125</xdr:rowOff>
    </xdr:to>
    <xdr:graphicFrame macro="">
      <xdr:nvGraphicFramePr>
        <xdr:cNvPr id="3" name="Chart 2">
          <a:extLst>
            <a:ext uri="{FF2B5EF4-FFF2-40B4-BE49-F238E27FC236}">
              <a16:creationId xmlns:a16="http://schemas.microsoft.com/office/drawing/2014/main" id="{BB91B971-A3C5-3CE2-98BE-5E8FE0E86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247649</xdr:colOff>
      <xdr:row>1</xdr:row>
      <xdr:rowOff>104775</xdr:rowOff>
    </xdr:from>
    <xdr:to>
      <xdr:col>9</xdr:col>
      <xdr:colOff>485775</xdr:colOff>
      <xdr:row>23</xdr:row>
      <xdr:rowOff>142875</xdr:rowOff>
    </xdr:to>
    <xdr:graphicFrame macro="">
      <xdr:nvGraphicFramePr>
        <xdr:cNvPr id="4" name="Chart 3">
          <a:extLst>
            <a:ext uri="{FF2B5EF4-FFF2-40B4-BE49-F238E27FC236}">
              <a16:creationId xmlns:a16="http://schemas.microsoft.com/office/drawing/2014/main" id="{DC89008A-89AD-6329-65F5-0025CEF9F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304799</xdr:colOff>
      <xdr:row>1</xdr:row>
      <xdr:rowOff>52386</xdr:rowOff>
    </xdr:from>
    <xdr:to>
      <xdr:col>12</xdr:col>
      <xdr:colOff>495300</xdr:colOff>
      <xdr:row>20</xdr:row>
      <xdr:rowOff>19049</xdr:rowOff>
    </xdr:to>
    <xdr:graphicFrame macro="">
      <xdr:nvGraphicFramePr>
        <xdr:cNvPr id="2" name="Chart 1">
          <a:extLst>
            <a:ext uri="{FF2B5EF4-FFF2-40B4-BE49-F238E27FC236}">
              <a16:creationId xmlns:a16="http://schemas.microsoft.com/office/drawing/2014/main" id="{18D62371-B08F-BAEE-9F49-93A42EF60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219074</xdr:colOff>
      <xdr:row>1</xdr:row>
      <xdr:rowOff>80961</xdr:rowOff>
    </xdr:from>
    <xdr:to>
      <xdr:col>11</xdr:col>
      <xdr:colOff>9525</xdr:colOff>
      <xdr:row>19</xdr:row>
      <xdr:rowOff>9525</xdr:rowOff>
    </xdr:to>
    <xdr:graphicFrame macro="">
      <xdr:nvGraphicFramePr>
        <xdr:cNvPr id="2" name="Chart 1">
          <a:extLst>
            <a:ext uri="{FF2B5EF4-FFF2-40B4-BE49-F238E27FC236}">
              <a16:creationId xmlns:a16="http://schemas.microsoft.com/office/drawing/2014/main" id="{E8FE6B87-6A08-E42B-F4C2-D3667E06B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333375</xdr:colOff>
      <xdr:row>0</xdr:row>
      <xdr:rowOff>176211</xdr:rowOff>
    </xdr:from>
    <xdr:to>
      <xdr:col>14</xdr:col>
      <xdr:colOff>276224</xdr:colOff>
      <xdr:row>19</xdr:row>
      <xdr:rowOff>142874</xdr:rowOff>
    </xdr:to>
    <xdr:graphicFrame macro="">
      <xdr:nvGraphicFramePr>
        <xdr:cNvPr id="2" name="Chart 1">
          <a:extLst>
            <a:ext uri="{FF2B5EF4-FFF2-40B4-BE49-F238E27FC236}">
              <a16:creationId xmlns:a16="http://schemas.microsoft.com/office/drawing/2014/main" id="{BBE6BCAB-3621-3A31-4060-D0D335AFD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123824</xdr:colOff>
      <xdr:row>1</xdr:row>
      <xdr:rowOff>47624</xdr:rowOff>
    </xdr:from>
    <xdr:to>
      <xdr:col>13</xdr:col>
      <xdr:colOff>114299</xdr:colOff>
      <xdr:row>19</xdr:row>
      <xdr:rowOff>19049</xdr:rowOff>
    </xdr:to>
    <xdr:graphicFrame macro="">
      <xdr:nvGraphicFramePr>
        <xdr:cNvPr id="3" name="Chart 2">
          <a:extLst>
            <a:ext uri="{FF2B5EF4-FFF2-40B4-BE49-F238E27FC236}">
              <a16:creationId xmlns:a16="http://schemas.microsoft.com/office/drawing/2014/main" id="{53AA7198-41F1-1DE2-D2CD-43EA6F3C6C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14</xdr:col>
      <xdr:colOff>152402</xdr:colOff>
      <xdr:row>19</xdr:row>
      <xdr:rowOff>85725</xdr:rowOff>
    </xdr:from>
    <xdr:to>
      <xdr:col>19</xdr:col>
      <xdr:colOff>438150</xdr:colOff>
      <xdr:row>33</xdr:row>
      <xdr:rowOff>38100</xdr:rowOff>
    </xdr:to>
    <xdr:graphicFrame macro="">
      <xdr:nvGraphicFramePr>
        <xdr:cNvPr id="2" name="Chart 1">
          <a:extLst>
            <a:ext uri="{FF2B5EF4-FFF2-40B4-BE49-F238E27FC236}">
              <a16:creationId xmlns:a16="http://schemas.microsoft.com/office/drawing/2014/main" id="{14754667-3F58-4022-9AC3-6C3D8CE55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171451</xdr:colOff>
      <xdr:row>19</xdr:row>
      <xdr:rowOff>76201</xdr:rowOff>
    </xdr:from>
    <xdr:to>
      <xdr:col>6</xdr:col>
      <xdr:colOff>514350</xdr:colOff>
      <xdr:row>33</xdr:row>
      <xdr:rowOff>114300</xdr:rowOff>
    </xdr:to>
    <xdr:graphicFrame macro="">
      <xdr:nvGraphicFramePr>
        <xdr:cNvPr id="3" name="Chart 2">
          <a:extLst>
            <a:ext uri="{FF2B5EF4-FFF2-40B4-BE49-F238E27FC236}">
              <a16:creationId xmlns:a16="http://schemas.microsoft.com/office/drawing/2014/main" id="{E66277A3-D43D-4D71-9799-4175580B0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190502</xdr:colOff>
      <xdr:row>19</xdr:row>
      <xdr:rowOff>76200</xdr:rowOff>
    </xdr:from>
    <xdr:to>
      <xdr:col>13</xdr:col>
      <xdr:colOff>495301</xdr:colOff>
      <xdr:row>33</xdr:row>
      <xdr:rowOff>123825</xdr:rowOff>
    </xdr:to>
    <xdr:graphicFrame macro="">
      <xdr:nvGraphicFramePr>
        <xdr:cNvPr id="4" name="Chart 3">
          <a:extLst>
            <a:ext uri="{FF2B5EF4-FFF2-40B4-BE49-F238E27FC236}">
              <a16:creationId xmlns:a16="http://schemas.microsoft.com/office/drawing/2014/main" id="{3034BC77-0FE1-41B8-BAC3-DC9A9E8E6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161926</xdr:colOff>
      <xdr:row>2</xdr:row>
      <xdr:rowOff>171450</xdr:rowOff>
    </xdr:from>
    <xdr:to>
      <xdr:col>6</xdr:col>
      <xdr:colOff>485775</xdr:colOff>
      <xdr:row>17</xdr:row>
      <xdr:rowOff>180975</xdr:rowOff>
    </xdr:to>
    <xdr:graphicFrame macro="">
      <xdr:nvGraphicFramePr>
        <xdr:cNvPr id="5" name="Chart 4">
          <a:extLst>
            <a:ext uri="{FF2B5EF4-FFF2-40B4-BE49-F238E27FC236}">
              <a16:creationId xmlns:a16="http://schemas.microsoft.com/office/drawing/2014/main" id="{6D52D0C7-5369-49D7-8893-F3B5662CC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571501</xdr:colOff>
      <xdr:row>2</xdr:row>
      <xdr:rowOff>123826</xdr:rowOff>
    </xdr:from>
    <xdr:to>
      <xdr:col>21</xdr:col>
      <xdr:colOff>400051</xdr:colOff>
      <xdr:row>17</xdr:row>
      <xdr:rowOff>161926</xdr:rowOff>
    </xdr:to>
    <xdr:graphicFrame macro="">
      <xdr:nvGraphicFramePr>
        <xdr:cNvPr id="6" name="Chart 5">
          <a:extLst>
            <a:ext uri="{FF2B5EF4-FFF2-40B4-BE49-F238E27FC236}">
              <a16:creationId xmlns:a16="http://schemas.microsoft.com/office/drawing/2014/main" id="{C23F40AB-DB04-49B4-80D7-CB82210F6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209551</xdr:colOff>
      <xdr:row>2</xdr:row>
      <xdr:rowOff>171451</xdr:rowOff>
    </xdr:from>
    <xdr:to>
      <xdr:col>14</xdr:col>
      <xdr:colOff>276225</xdr:colOff>
      <xdr:row>17</xdr:row>
      <xdr:rowOff>171451</xdr:rowOff>
    </xdr:to>
    <xdr:graphicFrame macro="">
      <xdr:nvGraphicFramePr>
        <xdr:cNvPr id="7" name="Chart 6">
          <a:extLst>
            <a:ext uri="{FF2B5EF4-FFF2-40B4-BE49-F238E27FC236}">
              <a16:creationId xmlns:a16="http://schemas.microsoft.com/office/drawing/2014/main" id="{5F142ED3-C5B2-4159-AC92-0F7FF29C5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581025</xdr:colOff>
      <xdr:row>19</xdr:row>
      <xdr:rowOff>28576</xdr:rowOff>
    </xdr:from>
    <xdr:to>
      <xdr:col>21</xdr:col>
      <xdr:colOff>542925</xdr:colOff>
      <xdr:row>26</xdr:row>
      <xdr:rowOff>19050</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9C50CC26-BBE5-E251-DB90-5D3DB18CCFA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963400" y="3648076"/>
              <a:ext cx="1181100" cy="1323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19</xdr:row>
      <xdr:rowOff>28576</xdr:rowOff>
    </xdr:from>
    <xdr:to>
      <xdr:col>23</xdr:col>
      <xdr:colOff>542925</xdr:colOff>
      <xdr:row>25</xdr:row>
      <xdr:rowOff>161926</xdr:rowOff>
    </xdr:to>
    <mc:AlternateContent xmlns:mc="http://schemas.openxmlformats.org/markup-compatibility/2006" xmlns:a14="http://schemas.microsoft.com/office/drawing/2010/main">
      <mc:Choice Requires="a14">
        <xdr:graphicFrame macro="">
          <xdr:nvGraphicFramePr>
            <xdr:cNvPr id="12" name="Status">
              <a:extLst>
                <a:ext uri="{FF2B5EF4-FFF2-40B4-BE49-F238E27FC236}">
                  <a16:creationId xmlns:a16="http://schemas.microsoft.com/office/drawing/2014/main" id="{D61C6657-F406-3E7E-2452-08383A5F09C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3211175" y="3619500"/>
              <a:ext cx="1152525" cy="1304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38100</xdr:colOff>
      <xdr:row>26</xdr:row>
      <xdr:rowOff>85725</xdr:rowOff>
    </xdr:from>
    <xdr:to>
      <xdr:col>23</xdr:col>
      <xdr:colOff>552450</xdr:colOff>
      <xdr:row>33</xdr:row>
      <xdr:rowOff>133350</xdr:rowOff>
    </xdr:to>
    <mc:AlternateContent xmlns:mc="http://schemas.openxmlformats.org/markup-compatibility/2006" xmlns:a14="http://schemas.microsoft.com/office/drawing/2010/main">
      <mc:Choice Requires="a14">
        <xdr:graphicFrame macro="">
          <xdr:nvGraphicFramePr>
            <xdr:cNvPr id="13" name="Date">
              <a:extLst>
                <a:ext uri="{FF2B5EF4-FFF2-40B4-BE49-F238E27FC236}">
                  <a16:creationId xmlns:a16="http://schemas.microsoft.com/office/drawing/2014/main" id="{EBA97FC2-4B8A-64E9-A34F-6E3A80087C17}"/>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2030075" y="5038725"/>
              <a:ext cx="2343150" cy="138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57150</xdr:colOff>
      <xdr:row>2</xdr:row>
      <xdr:rowOff>180975</xdr:rowOff>
    </xdr:from>
    <xdr:to>
      <xdr:col>28</xdr:col>
      <xdr:colOff>47625</xdr:colOff>
      <xdr:row>18</xdr:row>
      <xdr:rowOff>38101</xdr:rowOff>
    </xdr:to>
    <xdr:sp macro="" textlink="">
      <xdr:nvSpPr>
        <xdr:cNvPr id="9" name="Rectangle: Rounded Corners 8">
          <a:extLst>
            <a:ext uri="{FF2B5EF4-FFF2-40B4-BE49-F238E27FC236}">
              <a16:creationId xmlns:a16="http://schemas.microsoft.com/office/drawing/2014/main" id="{C295EA4B-6F18-AE1A-FD35-7DBB76AF050C}"/>
            </a:ext>
          </a:extLst>
        </xdr:cNvPr>
        <xdr:cNvSpPr/>
      </xdr:nvSpPr>
      <xdr:spPr>
        <a:xfrm>
          <a:off x="13268325" y="561975"/>
          <a:ext cx="3648075" cy="2905126"/>
        </a:xfrm>
        <a:prstGeom prst="roundRect">
          <a:avLst/>
        </a:prstGeom>
        <a:solidFill>
          <a:srgbClr val="B4C6E7"/>
        </a:solidFill>
        <a:ln w="15875" cap="rnd">
          <a:solidFill>
            <a:schemeClr val="bg1">
              <a:lumMod val="50000"/>
            </a:schemeClr>
          </a:solidFill>
          <a:round/>
        </a:ln>
        <a:effectLst>
          <a:glow rad="139700">
            <a:schemeClr val="bg1">
              <a:lumMod val="50000"/>
            </a:schemeClr>
          </a:glow>
          <a:innerShdw blurRad="114300">
            <a:schemeClr val="bg1">
              <a:lumMod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504000" rtlCol="0" anchor="ctr" anchorCtr="0"/>
        <a:lstStyle/>
        <a:p>
          <a:pPr algn="ctr"/>
          <a:r>
            <a:rPr lang="en-IN" sz="1200" b="1">
              <a:solidFill>
                <a:schemeClr val="tx1">
                  <a:lumMod val="95000"/>
                  <a:lumOff val="5000"/>
                </a:schemeClr>
              </a:solidFill>
              <a:latin typeface="Arial Rounded MT Bold" panose="020F0704030504030204" pitchFamily="34" charset="0"/>
            </a:rPr>
            <a:t>📌 KEY INSIGHTS</a:t>
          </a:r>
        </a:p>
        <a:p>
          <a:r>
            <a:rPr lang="en-IN">
              <a:solidFill>
                <a:schemeClr val="tx1">
                  <a:lumMod val="95000"/>
                  <a:lumOff val="5000"/>
                </a:schemeClr>
              </a:solidFill>
            </a:rPr>
            <a:t>• HR department recorded the highest absenteeism among all departments.</a:t>
          </a:r>
        </a:p>
        <a:p>
          <a:r>
            <a:rPr lang="en-IN">
              <a:solidFill>
                <a:schemeClr val="tx1">
                  <a:lumMod val="95000"/>
                  <a:lumOff val="5000"/>
                </a:schemeClr>
              </a:solidFill>
            </a:rPr>
            <a:t>• Tuesday showed the highest number of absent employees during the analysis period.</a:t>
          </a:r>
        </a:p>
        <a:p>
          <a:r>
            <a:rPr lang="en-IN">
              <a:solidFill>
                <a:schemeClr val="tx1">
                  <a:lumMod val="95000"/>
                  <a:lumOff val="5000"/>
                </a:schemeClr>
              </a:solidFill>
            </a:rPr>
            <a:t>• Several employees maintained consistent attendance and demonstrated </a:t>
          </a:r>
          <a:r>
            <a:rPr lang="en-IN" sz="900">
              <a:solidFill>
                <a:schemeClr val="tx1">
                  <a:lumMod val="95000"/>
                  <a:lumOff val="5000"/>
                </a:schemeClr>
              </a:solidFill>
            </a:rPr>
            <a:t>strong</a:t>
          </a:r>
          <a:r>
            <a:rPr lang="en-IN">
              <a:solidFill>
                <a:schemeClr val="tx1">
                  <a:lumMod val="95000"/>
                  <a:lumOff val="5000"/>
                </a:schemeClr>
              </a:solidFill>
            </a:rPr>
            <a:t> punctuality.</a:t>
          </a:r>
        </a:p>
        <a:p>
          <a:r>
            <a:rPr lang="en-IN">
              <a:solidFill>
                <a:schemeClr val="tx1">
                  <a:lumMod val="95000"/>
                  <a:lumOff val="5000"/>
                </a:schemeClr>
              </a:solidFill>
            </a:rPr>
            <a:t>• Monthly attendance trends indicated a gradual decline in </a:t>
          </a:r>
          <a:r>
            <a:rPr lang="en-IN" sz="900" baseline="0">
              <a:solidFill>
                <a:schemeClr val="tx1">
                  <a:lumMod val="95000"/>
                  <a:lumOff val="5000"/>
                </a:schemeClr>
              </a:solidFill>
              <a:latin typeface="Bahnschrift SemiBold" panose="020B0502040204020203" pitchFamily="34" charset="0"/>
            </a:rPr>
            <a:t>employee</a:t>
          </a:r>
          <a:r>
            <a:rPr lang="en-IN">
              <a:solidFill>
                <a:schemeClr val="tx1">
                  <a:lumMod val="95000"/>
                  <a:lumOff val="5000"/>
                </a:schemeClr>
              </a:solidFill>
            </a:rPr>
            <a:t> attendance over time.</a:t>
          </a:r>
        </a:p>
        <a:p>
          <a:r>
            <a:rPr lang="en-IN">
              <a:solidFill>
                <a:schemeClr val="tx1">
                  <a:lumMod val="95000"/>
                  <a:lumOff val="5000"/>
                </a:schemeClr>
              </a:solidFill>
            </a:rPr>
            <a:t>• Daily attendance patterns helped identify fluctuations and workforce attendance behavior.</a:t>
          </a:r>
        </a:p>
        <a:p>
          <a:r>
            <a:rPr lang="en-IN">
              <a:solidFill>
                <a:schemeClr val="tx1">
                  <a:lumMod val="95000"/>
                  <a:lumOff val="5000"/>
                </a:schemeClr>
              </a:solidFill>
            </a:rPr>
            <a:t>• The dashboard provides a centralized view of employee attendance, absenteeism, and department performance.</a:t>
          </a:r>
        </a:p>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HYA" refreshedDate="46164.537667708333" createdVersion="8" refreshedVersion="8" minRefreshableVersion="3" recordCount="500" xr:uid="{5FB859BF-6B41-4718-B34E-9BED5D4854F8}">
  <cacheSource type="worksheet">
    <worksheetSource name="Attendance_Data"/>
  </cacheSource>
  <cacheFields count="7">
    <cacheField name="Date" numFmtId="0">
      <sharedItems count="31">
        <s v="2025-05-07"/>
        <s v="2025-05-08"/>
        <s v="2025-05-21"/>
        <s v="2025-05-16"/>
        <s v="2025-05-05"/>
        <s v="2025-05-11"/>
        <s v="2025-05-30"/>
        <s v="2025-05-20"/>
        <s v="2025-05-24"/>
        <s v="2025-05-09"/>
        <s v="2025-05-23"/>
        <s v="2025-05-25"/>
        <s v="2025-05-18"/>
        <s v="2025-05-19"/>
        <s v="2025-05-27"/>
        <s v="2025-05-06"/>
        <s v="2025-05-28"/>
        <s v="2025-05-31"/>
        <s v="2025-05-14"/>
        <s v="2025-05-03"/>
        <s v="2025-05-01"/>
        <s v="2025-05-15"/>
        <s v="2025-05-02"/>
        <s v="2025-05-12"/>
        <s v="2025-05-13"/>
        <s v="2025-05-10"/>
        <s v="2025-05-26"/>
        <s v="2025-05-17"/>
        <s v="2025-05-29"/>
        <s v="2025-05-04"/>
        <s v="2025-05-22"/>
      </sharedItems>
    </cacheField>
    <cacheField name="Employee Name" numFmtId="0">
      <sharedItems count="10">
        <s v="Ismaila Camara"/>
        <s v="Lamin Sowe"/>
        <s v="Ousman Jatta"/>
        <s v="Saffie Joof"/>
        <s v="Awa Sanyang"/>
        <s v="Jainaba Ceesay"/>
        <s v="Mariama Bah"/>
        <s v="Modou Cham"/>
        <s v="Fatou Jobe"/>
        <s v="Ebrima Touray"/>
      </sharedItems>
    </cacheField>
    <cacheField name="Department" numFmtId="0">
      <sharedItems count="5">
        <s v="IT"/>
        <s v="Marketing"/>
        <s v="Finance"/>
        <s v="HR"/>
        <s v="Operations"/>
      </sharedItems>
    </cacheField>
    <cacheField name="Status" numFmtId="0">
      <sharedItems count="4">
        <s v="Late"/>
        <s v="Present"/>
        <s v="On Leave"/>
        <s v="Absent"/>
      </sharedItems>
    </cacheField>
    <cacheField name="Month" numFmtId="0">
      <sharedItems count="1">
        <s v="May"/>
      </sharedItems>
    </cacheField>
    <cacheField name="Day" numFmtId="0">
      <sharedItems count="7">
        <s v="Wednesday"/>
        <s v="Thursday"/>
        <s v="Friday"/>
        <s v="Monday"/>
        <s v="Sunday"/>
        <s v="Tuesday"/>
        <s v="Saturday"/>
      </sharedItems>
    </cacheField>
    <cacheField name="Attendance_Value"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6743048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x v="0"/>
  </r>
  <r>
    <x v="1"/>
    <x v="1"/>
    <x v="1"/>
    <x v="1"/>
    <x v="0"/>
    <x v="1"/>
    <x v="0"/>
  </r>
  <r>
    <x v="2"/>
    <x v="2"/>
    <x v="0"/>
    <x v="0"/>
    <x v="0"/>
    <x v="0"/>
    <x v="0"/>
  </r>
  <r>
    <x v="3"/>
    <x v="3"/>
    <x v="1"/>
    <x v="1"/>
    <x v="0"/>
    <x v="2"/>
    <x v="0"/>
  </r>
  <r>
    <x v="4"/>
    <x v="4"/>
    <x v="2"/>
    <x v="1"/>
    <x v="0"/>
    <x v="3"/>
    <x v="0"/>
  </r>
  <r>
    <x v="5"/>
    <x v="4"/>
    <x v="2"/>
    <x v="0"/>
    <x v="0"/>
    <x v="4"/>
    <x v="0"/>
  </r>
  <r>
    <x v="1"/>
    <x v="5"/>
    <x v="2"/>
    <x v="1"/>
    <x v="0"/>
    <x v="1"/>
    <x v="0"/>
  </r>
  <r>
    <x v="6"/>
    <x v="0"/>
    <x v="0"/>
    <x v="1"/>
    <x v="0"/>
    <x v="2"/>
    <x v="0"/>
  </r>
  <r>
    <x v="7"/>
    <x v="5"/>
    <x v="2"/>
    <x v="1"/>
    <x v="0"/>
    <x v="5"/>
    <x v="0"/>
  </r>
  <r>
    <x v="8"/>
    <x v="2"/>
    <x v="0"/>
    <x v="1"/>
    <x v="0"/>
    <x v="6"/>
    <x v="0"/>
  </r>
  <r>
    <x v="1"/>
    <x v="1"/>
    <x v="1"/>
    <x v="2"/>
    <x v="0"/>
    <x v="1"/>
    <x v="1"/>
  </r>
  <r>
    <x v="4"/>
    <x v="0"/>
    <x v="0"/>
    <x v="1"/>
    <x v="0"/>
    <x v="3"/>
    <x v="0"/>
  </r>
  <r>
    <x v="2"/>
    <x v="4"/>
    <x v="2"/>
    <x v="1"/>
    <x v="0"/>
    <x v="0"/>
    <x v="0"/>
  </r>
  <r>
    <x v="9"/>
    <x v="0"/>
    <x v="0"/>
    <x v="0"/>
    <x v="0"/>
    <x v="2"/>
    <x v="0"/>
  </r>
  <r>
    <x v="10"/>
    <x v="6"/>
    <x v="3"/>
    <x v="2"/>
    <x v="0"/>
    <x v="2"/>
    <x v="1"/>
  </r>
  <r>
    <x v="10"/>
    <x v="3"/>
    <x v="1"/>
    <x v="1"/>
    <x v="0"/>
    <x v="2"/>
    <x v="0"/>
  </r>
  <r>
    <x v="11"/>
    <x v="3"/>
    <x v="1"/>
    <x v="1"/>
    <x v="0"/>
    <x v="4"/>
    <x v="0"/>
  </r>
  <r>
    <x v="12"/>
    <x v="7"/>
    <x v="4"/>
    <x v="0"/>
    <x v="0"/>
    <x v="4"/>
    <x v="0"/>
  </r>
  <r>
    <x v="13"/>
    <x v="8"/>
    <x v="3"/>
    <x v="1"/>
    <x v="0"/>
    <x v="3"/>
    <x v="0"/>
  </r>
  <r>
    <x v="14"/>
    <x v="8"/>
    <x v="3"/>
    <x v="2"/>
    <x v="0"/>
    <x v="5"/>
    <x v="1"/>
  </r>
  <r>
    <x v="15"/>
    <x v="6"/>
    <x v="3"/>
    <x v="1"/>
    <x v="0"/>
    <x v="5"/>
    <x v="0"/>
  </r>
  <r>
    <x v="6"/>
    <x v="5"/>
    <x v="2"/>
    <x v="1"/>
    <x v="0"/>
    <x v="2"/>
    <x v="0"/>
  </r>
  <r>
    <x v="3"/>
    <x v="6"/>
    <x v="3"/>
    <x v="1"/>
    <x v="0"/>
    <x v="2"/>
    <x v="0"/>
  </r>
  <r>
    <x v="6"/>
    <x v="4"/>
    <x v="2"/>
    <x v="1"/>
    <x v="0"/>
    <x v="2"/>
    <x v="0"/>
  </r>
  <r>
    <x v="10"/>
    <x v="2"/>
    <x v="0"/>
    <x v="1"/>
    <x v="0"/>
    <x v="2"/>
    <x v="0"/>
  </r>
  <r>
    <x v="3"/>
    <x v="6"/>
    <x v="3"/>
    <x v="1"/>
    <x v="0"/>
    <x v="2"/>
    <x v="0"/>
  </r>
  <r>
    <x v="16"/>
    <x v="6"/>
    <x v="3"/>
    <x v="0"/>
    <x v="0"/>
    <x v="0"/>
    <x v="0"/>
  </r>
  <r>
    <x v="7"/>
    <x v="5"/>
    <x v="2"/>
    <x v="1"/>
    <x v="0"/>
    <x v="5"/>
    <x v="0"/>
  </r>
  <r>
    <x v="5"/>
    <x v="5"/>
    <x v="2"/>
    <x v="1"/>
    <x v="0"/>
    <x v="4"/>
    <x v="0"/>
  </r>
  <r>
    <x v="17"/>
    <x v="2"/>
    <x v="0"/>
    <x v="1"/>
    <x v="0"/>
    <x v="6"/>
    <x v="0"/>
  </r>
  <r>
    <x v="18"/>
    <x v="8"/>
    <x v="3"/>
    <x v="1"/>
    <x v="0"/>
    <x v="0"/>
    <x v="0"/>
  </r>
  <r>
    <x v="19"/>
    <x v="1"/>
    <x v="1"/>
    <x v="0"/>
    <x v="0"/>
    <x v="6"/>
    <x v="0"/>
  </r>
  <r>
    <x v="4"/>
    <x v="6"/>
    <x v="3"/>
    <x v="1"/>
    <x v="0"/>
    <x v="3"/>
    <x v="0"/>
  </r>
  <r>
    <x v="5"/>
    <x v="3"/>
    <x v="1"/>
    <x v="3"/>
    <x v="0"/>
    <x v="4"/>
    <x v="1"/>
  </r>
  <r>
    <x v="20"/>
    <x v="3"/>
    <x v="1"/>
    <x v="1"/>
    <x v="0"/>
    <x v="1"/>
    <x v="0"/>
  </r>
  <r>
    <x v="19"/>
    <x v="4"/>
    <x v="2"/>
    <x v="1"/>
    <x v="0"/>
    <x v="6"/>
    <x v="0"/>
  </r>
  <r>
    <x v="11"/>
    <x v="3"/>
    <x v="1"/>
    <x v="1"/>
    <x v="0"/>
    <x v="4"/>
    <x v="0"/>
  </r>
  <r>
    <x v="5"/>
    <x v="2"/>
    <x v="0"/>
    <x v="1"/>
    <x v="0"/>
    <x v="4"/>
    <x v="0"/>
  </r>
  <r>
    <x v="18"/>
    <x v="7"/>
    <x v="4"/>
    <x v="1"/>
    <x v="0"/>
    <x v="0"/>
    <x v="0"/>
  </r>
  <r>
    <x v="2"/>
    <x v="0"/>
    <x v="0"/>
    <x v="2"/>
    <x v="0"/>
    <x v="0"/>
    <x v="1"/>
  </r>
  <r>
    <x v="21"/>
    <x v="7"/>
    <x v="4"/>
    <x v="0"/>
    <x v="0"/>
    <x v="1"/>
    <x v="0"/>
  </r>
  <r>
    <x v="18"/>
    <x v="4"/>
    <x v="2"/>
    <x v="1"/>
    <x v="0"/>
    <x v="0"/>
    <x v="0"/>
  </r>
  <r>
    <x v="21"/>
    <x v="3"/>
    <x v="1"/>
    <x v="1"/>
    <x v="0"/>
    <x v="1"/>
    <x v="0"/>
  </r>
  <r>
    <x v="22"/>
    <x v="2"/>
    <x v="0"/>
    <x v="1"/>
    <x v="0"/>
    <x v="2"/>
    <x v="0"/>
  </r>
  <r>
    <x v="3"/>
    <x v="7"/>
    <x v="4"/>
    <x v="1"/>
    <x v="0"/>
    <x v="2"/>
    <x v="0"/>
  </r>
  <r>
    <x v="16"/>
    <x v="0"/>
    <x v="0"/>
    <x v="1"/>
    <x v="0"/>
    <x v="0"/>
    <x v="0"/>
  </r>
  <r>
    <x v="9"/>
    <x v="6"/>
    <x v="3"/>
    <x v="0"/>
    <x v="0"/>
    <x v="2"/>
    <x v="0"/>
  </r>
  <r>
    <x v="7"/>
    <x v="4"/>
    <x v="2"/>
    <x v="0"/>
    <x v="0"/>
    <x v="5"/>
    <x v="0"/>
  </r>
  <r>
    <x v="23"/>
    <x v="2"/>
    <x v="0"/>
    <x v="1"/>
    <x v="0"/>
    <x v="3"/>
    <x v="0"/>
  </r>
  <r>
    <x v="2"/>
    <x v="6"/>
    <x v="3"/>
    <x v="1"/>
    <x v="0"/>
    <x v="0"/>
    <x v="0"/>
  </r>
  <r>
    <x v="15"/>
    <x v="0"/>
    <x v="0"/>
    <x v="1"/>
    <x v="0"/>
    <x v="5"/>
    <x v="0"/>
  </r>
  <r>
    <x v="0"/>
    <x v="0"/>
    <x v="0"/>
    <x v="1"/>
    <x v="0"/>
    <x v="0"/>
    <x v="0"/>
  </r>
  <r>
    <x v="8"/>
    <x v="7"/>
    <x v="4"/>
    <x v="1"/>
    <x v="0"/>
    <x v="6"/>
    <x v="0"/>
  </r>
  <r>
    <x v="24"/>
    <x v="9"/>
    <x v="4"/>
    <x v="0"/>
    <x v="0"/>
    <x v="5"/>
    <x v="0"/>
  </r>
  <r>
    <x v="25"/>
    <x v="3"/>
    <x v="1"/>
    <x v="1"/>
    <x v="0"/>
    <x v="6"/>
    <x v="0"/>
  </r>
  <r>
    <x v="3"/>
    <x v="3"/>
    <x v="1"/>
    <x v="2"/>
    <x v="0"/>
    <x v="2"/>
    <x v="1"/>
  </r>
  <r>
    <x v="4"/>
    <x v="3"/>
    <x v="1"/>
    <x v="1"/>
    <x v="0"/>
    <x v="3"/>
    <x v="0"/>
  </r>
  <r>
    <x v="13"/>
    <x v="3"/>
    <x v="1"/>
    <x v="1"/>
    <x v="0"/>
    <x v="3"/>
    <x v="0"/>
  </r>
  <r>
    <x v="10"/>
    <x v="4"/>
    <x v="2"/>
    <x v="0"/>
    <x v="0"/>
    <x v="2"/>
    <x v="0"/>
  </r>
  <r>
    <x v="8"/>
    <x v="6"/>
    <x v="3"/>
    <x v="3"/>
    <x v="0"/>
    <x v="6"/>
    <x v="1"/>
  </r>
  <r>
    <x v="14"/>
    <x v="4"/>
    <x v="2"/>
    <x v="1"/>
    <x v="0"/>
    <x v="5"/>
    <x v="0"/>
  </r>
  <r>
    <x v="0"/>
    <x v="9"/>
    <x v="4"/>
    <x v="1"/>
    <x v="0"/>
    <x v="0"/>
    <x v="0"/>
  </r>
  <r>
    <x v="22"/>
    <x v="0"/>
    <x v="0"/>
    <x v="1"/>
    <x v="0"/>
    <x v="2"/>
    <x v="0"/>
  </r>
  <r>
    <x v="6"/>
    <x v="2"/>
    <x v="0"/>
    <x v="2"/>
    <x v="0"/>
    <x v="2"/>
    <x v="1"/>
  </r>
  <r>
    <x v="7"/>
    <x v="9"/>
    <x v="4"/>
    <x v="3"/>
    <x v="0"/>
    <x v="5"/>
    <x v="1"/>
  </r>
  <r>
    <x v="19"/>
    <x v="6"/>
    <x v="3"/>
    <x v="2"/>
    <x v="0"/>
    <x v="6"/>
    <x v="1"/>
  </r>
  <r>
    <x v="3"/>
    <x v="2"/>
    <x v="0"/>
    <x v="1"/>
    <x v="0"/>
    <x v="2"/>
    <x v="0"/>
  </r>
  <r>
    <x v="8"/>
    <x v="6"/>
    <x v="3"/>
    <x v="1"/>
    <x v="0"/>
    <x v="6"/>
    <x v="0"/>
  </r>
  <r>
    <x v="5"/>
    <x v="7"/>
    <x v="4"/>
    <x v="3"/>
    <x v="0"/>
    <x v="4"/>
    <x v="1"/>
  </r>
  <r>
    <x v="16"/>
    <x v="1"/>
    <x v="1"/>
    <x v="1"/>
    <x v="0"/>
    <x v="0"/>
    <x v="0"/>
  </r>
  <r>
    <x v="7"/>
    <x v="1"/>
    <x v="1"/>
    <x v="1"/>
    <x v="0"/>
    <x v="5"/>
    <x v="0"/>
  </r>
  <r>
    <x v="26"/>
    <x v="4"/>
    <x v="2"/>
    <x v="1"/>
    <x v="0"/>
    <x v="3"/>
    <x v="0"/>
  </r>
  <r>
    <x v="14"/>
    <x v="2"/>
    <x v="0"/>
    <x v="1"/>
    <x v="0"/>
    <x v="5"/>
    <x v="0"/>
  </r>
  <r>
    <x v="5"/>
    <x v="6"/>
    <x v="3"/>
    <x v="2"/>
    <x v="0"/>
    <x v="4"/>
    <x v="1"/>
  </r>
  <r>
    <x v="1"/>
    <x v="6"/>
    <x v="3"/>
    <x v="1"/>
    <x v="0"/>
    <x v="1"/>
    <x v="0"/>
  </r>
  <r>
    <x v="27"/>
    <x v="6"/>
    <x v="3"/>
    <x v="2"/>
    <x v="0"/>
    <x v="6"/>
    <x v="1"/>
  </r>
  <r>
    <x v="25"/>
    <x v="5"/>
    <x v="2"/>
    <x v="3"/>
    <x v="0"/>
    <x v="6"/>
    <x v="1"/>
  </r>
  <r>
    <x v="18"/>
    <x v="9"/>
    <x v="4"/>
    <x v="1"/>
    <x v="0"/>
    <x v="0"/>
    <x v="0"/>
  </r>
  <r>
    <x v="12"/>
    <x v="2"/>
    <x v="0"/>
    <x v="3"/>
    <x v="0"/>
    <x v="4"/>
    <x v="1"/>
  </r>
  <r>
    <x v="26"/>
    <x v="1"/>
    <x v="1"/>
    <x v="1"/>
    <x v="0"/>
    <x v="3"/>
    <x v="0"/>
  </r>
  <r>
    <x v="28"/>
    <x v="3"/>
    <x v="1"/>
    <x v="3"/>
    <x v="0"/>
    <x v="1"/>
    <x v="1"/>
  </r>
  <r>
    <x v="15"/>
    <x v="2"/>
    <x v="0"/>
    <x v="1"/>
    <x v="0"/>
    <x v="5"/>
    <x v="0"/>
  </r>
  <r>
    <x v="9"/>
    <x v="3"/>
    <x v="1"/>
    <x v="1"/>
    <x v="0"/>
    <x v="2"/>
    <x v="0"/>
  </r>
  <r>
    <x v="26"/>
    <x v="3"/>
    <x v="1"/>
    <x v="1"/>
    <x v="0"/>
    <x v="3"/>
    <x v="0"/>
  </r>
  <r>
    <x v="0"/>
    <x v="8"/>
    <x v="3"/>
    <x v="1"/>
    <x v="0"/>
    <x v="0"/>
    <x v="0"/>
  </r>
  <r>
    <x v="12"/>
    <x v="6"/>
    <x v="3"/>
    <x v="0"/>
    <x v="0"/>
    <x v="4"/>
    <x v="0"/>
  </r>
  <r>
    <x v="25"/>
    <x v="4"/>
    <x v="2"/>
    <x v="1"/>
    <x v="0"/>
    <x v="6"/>
    <x v="0"/>
  </r>
  <r>
    <x v="14"/>
    <x v="1"/>
    <x v="1"/>
    <x v="0"/>
    <x v="0"/>
    <x v="5"/>
    <x v="0"/>
  </r>
  <r>
    <x v="16"/>
    <x v="9"/>
    <x v="4"/>
    <x v="1"/>
    <x v="0"/>
    <x v="0"/>
    <x v="0"/>
  </r>
  <r>
    <x v="2"/>
    <x v="4"/>
    <x v="2"/>
    <x v="1"/>
    <x v="0"/>
    <x v="0"/>
    <x v="0"/>
  </r>
  <r>
    <x v="3"/>
    <x v="8"/>
    <x v="3"/>
    <x v="1"/>
    <x v="0"/>
    <x v="2"/>
    <x v="0"/>
  </r>
  <r>
    <x v="14"/>
    <x v="1"/>
    <x v="1"/>
    <x v="0"/>
    <x v="0"/>
    <x v="5"/>
    <x v="0"/>
  </r>
  <r>
    <x v="21"/>
    <x v="0"/>
    <x v="0"/>
    <x v="1"/>
    <x v="0"/>
    <x v="1"/>
    <x v="0"/>
  </r>
  <r>
    <x v="16"/>
    <x v="3"/>
    <x v="1"/>
    <x v="0"/>
    <x v="0"/>
    <x v="0"/>
    <x v="0"/>
  </r>
  <r>
    <x v="16"/>
    <x v="8"/>
    <x v="3"/>
    <x v="1"/>
    <x v="0"/>
    <x v="0"/>
    <x v="0"/>
  </r>
  <r>
    <x v="4"/>
    <x v="8"/>
    <x v="3"/>
    <x v="0"/>
    <x v="0"/>
    <x v="3"/>
    <x v="0"/>
  </r>
  <r>
    <x v="13"/>
    <x v="6"/>
    <x v="3"/>
    <x v="0"/>
    <x v="0"/>
    <x v="3"/>
    <x v="0"/>
  </r>
  <r>
    <x v="22"/>
    <x v="6"/>
    <x v="3"/>
    <x v="1"/>
    <x v="0"/>
    <x v="2"/>
    <x v="0"/>
  </r>
  <r>
    <x v="12"/>
    <x v="9"/>
    <x v="4"/>
    <x v="1"/>
    <x v="0"/>
    <x v="4"/>
    <x v="0"/>
  </r>
  <r>
    <x v="29"/>
    <x v="5"/>
    <x v="2"/>
    <x v="1"/>
    <x v="0"/>
    <x v="4"/>
    <x v="0"/>
  </r>
  <r>
    <x v="23"/>
    <x v="2"/>
    <x v="0"/>
    <x v="0"/>
    <x v="0"/>
    <x v="3"/>
    <x v="0"/>
  </r>
  <r>
    <x v="28"/>
    <x v="9"/>
    <x v="4"/>
    <x v="1"/>
    <x v="0"/>
    <x v="1"/>
    <x v="0"/>
  </r>
  <r>
    <x v="25"/>
    <x v="8"/>
    <x v="3"/>
    <x v="0"/>
    <x v="0"/>
    <x v="6"/>
    <x v="0"/>
  </r>
  <r>
    <x v="5"/>
    <x v="1"/>
    <x v="1"/>
    <x v="1"/>
    <x v="0"/>
    <x v="4"/>
    <x v="0"/>
  </r>
  <r>
    <x v="2"/>
    <x v="6"/>
    <x v="3"/>
    <x v="1"/>
    <x v="0"/>
    <x v="0"/>
    <x v="0"/>
  </r>
  <r>
    <x v="19"/>
    <x v="6"/>
    <x v="3"/>
    <x v="1"/>
    <x v="0"/>
    <x v="6"/>
    <x v="0"/>
  </r>
  <r>
    <x v="8"/>
    <x v="7"/>
    <x v="4"/>
    <x v="1"/>
    <x v="0"/>
    <x v="6"/>
    <x v="0"/>
  </r>
  <r>
    <x v="17"/>
    <x v="8"/>
    <x v="3"/>
    <x v="1"/>
    <x v="0"/>
    <x v="6"/>
    <x v="0"/>
  </r>
  <r>
    <x v="15"/>
    <x v="2"/>
    <x v="0"/>
    <x v="2"/>
    <x v="0"/>
    <x v="5"/>
    <x v="1"/>
  </r>
  <r>
    <x v="8"/>
    <x v="8"/>
    <x v="3"/>
    <x v="1"/>
    <x v="0"/>
    <x v="6"/>
    <x v="0"/>
  </r>
  <r>
    <x v="9"/>
    <x v="4"/>
    <x v="2"/>
    <x v="1"/>
    <x v="0"/>
    <x v="2"/>
    <x v="0"/>
  </r>
  <r>
    <x v="0"/>
    <x v="3"/>
    <x v="1"/>
    <x v="0"/>
    <x v="0"/>
    <x v="0"/>
    <x v="0"/>
  </r>
  <r>
    <x v="2"/>
    <x v="6"/>
    <x v="3"/>
    <x v="1"/>
    <x v="0"/>
    <x v="0"/>
    <x v="0"/>
  </r>
  <r>
    <x v="22"/>
    <x v="2"/>
    <x v="0"/>
    <x v="1"/>
    <x v="0"/>
    <x v="2"/>
    <x v="0"/>
  </r>
  <r>
    <x v="21"/>
    <x v="2"/>
    <x v="0"/>
    <x v="0"/>
    <x v="0"/>
    <x v="1"/>
    <x v="0"/>
  </r>
  <r>
    <x v="14"/>
    <x v="3"/>
    <x v="1"/>
    <x v="1"/>
    <x v="0"/>
    <x v="5"/>
    <x v="0"/>
  </r>
  <r>
    <x v="11"/>
    <x v="1"/>
    <x v="1"/>
    <x v="1"/>
    <x v="0"/>
    <x v="4"/>
    <x v="0"/>
  </r>
  <r>
    <x v="13"/>
    <x v="4"/>
    <x v="2"/>
    <x v="1"/>
    <x v="0"/>
    <x v="3"/>
    <x v="0"/>
  </r>
  <r>
    <x v="30"/>
    <x v="2"/>
    <x v="0"/>
    <x v="0"/>
    <x v="0"/>
    <x v="1"/>
    <x v="0"/>
  </r>
  <r>
    <x v="6"/>
    <x v="4"/>
    <x v="2"/>
    <x v="1"/>
    <x v="0"/>
    <x v="2"/>
    <x v="0"/>
  </r>
  <r>
    <x v="2"/>
    <x v="2"/>
    <x v="0"/>
    <x v="1"/>
    <x v="0"/>
    <x v="0"/>
    <x v="0"/>
  </r>
  <r>
    <x v="27"/>
    <x v="8"/>
    <x v="3"/>
    <x v="1"/>
    <x v="0"/>
    <x v="6"/>
    <x v="0"/>
  </r>
  <r>
    <x v="17"/>
    <x v="9"/>
    <x v="4"/>
    <x v="2"/>
    <x v="0"/>
    <x v="6"/>
    <x v="1"/>
  </r>
  <r>
    <x v="28"/>
    <x v="7"/>
    <x v="4"/>
    <x v="0"/>
    <x v="0"/>
    <x v="1"/>
    <x v="0"/>
  </r>
  <r>
    <x v="0"/>
    <x v="0"/>
    <x v="0"/>
    <x v="1"/>
    <x v="0"/>
    <x v="0"/>
    <x v="0"/>
  </r>
  <r>
    <x v="23"/>
    <x v="4"/>
    <x v="2"/>
    <x v="0"/>
    <x v="0"/>
    <x v="3"/>
    <x v="0"/>
  </r>
  <r>
    <x v="9"/>
    <x v="6"/>
    <x v="3"/>
    <x v="1"/>
    <x v="0"/>
    <x v="2"/>
    <x v="0"/>
  </r>
  <r>
    <x v="20"/>
    <x v="6"/>
    <x v="3"/>
    <x v="0"/>
    <x v="0"/>
    <x v="1"/>
    <x v="0"/>
  </r>
  <r>
    <x v="13"/>
    <x v="6"/>
    <x v="3"/>
    <x v="0"/>
    <x v="0"/>
    <x v="3"/>
    <x v="0"/>
  </r>
  <r>
    <x v="11"/>
    <x v="5"/>
    <x v="2"/>
    <x v="1"/>
    <x v="0"/>
    <x v="4"/>
    <x v="0"/>
  </r>
  <r>
    <x v="28"/>
    <x v="3"/>
    <x v="1"/>
    <x v="1"/>
    <x v="0"/>
    <x v="1"/>
    <x v="0"/>
  </r>
  <r>
    <x v="11"/>
    <x v="0"/>
    <x v="0"/>
    <x v="2"/>
    <x v="0"/>
    <x v="4"/>
    <x v="1"/>
  </r>
  <r>
    <x v="0"/>
    <x v="9"/>
    <x v="4"/>
    <x v="1"/>
    <x v="0"/>
    <x v="0"/>
    <x v="0"/>
  </r>
  <r>
    <x v="24"/>
    <x v="8"/>
    <x v="3"/>
    <x v="3"/>
    <x v="0"/>
    <x v="5"/>
    <x v="1"/>
  </r>
  <r>
    <x v="29"/>
    <x v="4"/>
    <x v="2"/>
    <x v="0"/>
    <x v="0"/>
    <x v="4"/>
    <x v="0"/>
  </r>
  <r>
    <x v="14"/>
    <x v="8"/>
    <x v="3"/>
    <x v="1"/>
    <x v="0"/>
    <x v="5"/>
    <x v="0"/>
  </r>
  <r>
    <x v="0"/>
    <x v="4"/>
    <x v="2"/>
    <x v="1"/>
    <x v="0"/>
    <x v="0"/>
    <x v="0"/>
  </r>
  <r>
    <x v="3"/>
    <x v="3"/>
    <x v="1"/>
    <x v="1"/>
    <x v="0"/>
    <x v="2"/>
    <x v="0"/>
  </r>
  <r>
    <x v="15"/>
    <x v="8"/>
    <x v="3"/>
    <x v="1"/>
    <x v="0"/>
    <x v="5"/>
    <x v="0"/>
  </r>
  <r>
    <x v="24"/>
    <x v="1"/>
    <x v="1"/>
    <x v="3"/>
    <x v="0"/>
    <x v="5"/>
    <x v="1"/>
  </r>
  <r>
    <x v="19"/>
    <x v="5"/>
    <x v="2"/>
    <x v="1"/>
    <x v="0"/>
    <x v="6"/>
    <x v="0"/>
  </r>
  <r>
    <x v="13"/>
    <x v="4"/>
    <x v="2"/>
    <x v="1"/>
    <x v="0"/>
    <x v="3"/>
    <x v="0"/>
  </r>
  <r>
    <x v="11"/>
    <x v="6"/>
    <x v="3"/>
    <x v="0"/>
    <x v="0"/>
    <x v="4"/>
    <x v="0"/>
  </r>
  <r>
    <x v="26"/>
    <x v="0"/>
    <x v="0"/>
    <x v="1"/>
    <x v="0"/>
    <x v="3"/>
    <x v="0"/>
  </r>
  <r>
    <x v="9"/>
    <x v="6"/>
    <x v="3"/>
    <x v="3"/>
    <x v="0"/>
    <x v="2"/>
    <x v="1"/>
  </r>
  <r>
    <x v="15"/>
    <x v="3"/>
    <x v="1"/>
    <x v="1"/>
    <x v="0"/>
    <x v="5"/>
    <x v="0"/>
  </r>
  <r>
    <x v="1"/>
    <x v="4"/>
    <x v="2"/>
    <x v="3"/>
    <x v="0"/>
    <x v="1"/>
    <x v="1"/>
  </r>
  <r>
    <x v="29"/>
    <x v="5"/>
    <x v="2"/>
    <x v="0"/>
    <x v="0"/>
    <x v="4"/>
    <x v="0"/>
  </r>
  <r>
    <x v="24"/>
    <x v="7"/>
    <x v="4"/>
    <x v="1"/>
    <x v="0"/>
    <x v="5"/>
    <x v="0"/>
  </r>
  <r>
    <x v="16"/>
    <x v="4"/>
    <x v="2"/>
    <x v="1"/>
    <x v="0"/>
    <x v="0"/>
    <x v="0"/>
  </r>
  <r>
    <x v="15"/>
    <x v="1"/>
    <x v="1"/>
    <x v="1"/>
    <x v="0"/>
    <x v="5"/>
    <x v="0"/>
  </r>
  <r>
    <x v="5"/>
    <x v="8"/>
    <x v="3"/>
    <x v="1"/>
    <x v="0"/>
    <x v="4"/>
    <x v="0"/>
  </r>
  <r>
    <x v="28"/>
    <x v="6"/>
    <x v="3"/>
    <x v="1"/>
    <x v="0"/>
    <x v="1"/>
    <x v="0"/>
  </r>
  <r>
    <x v="21"/>
    <x v="8"/>
    <x v="3"/>
    <x v="1"/>
    <x v="0"/>
    <x v="1"/>
    <x v="0"/>
  </r>
  <r>
    <x v="6"/>
    <x v="6"/>
    <x v="3"/>
    <x v="1"/>
    <x v="0"/>
    <x v="2"/>
    <x v="0"/>
  </r>
  <r>
    <x v="26"/>
    <x v="5"/>
    <x v="2"/>
    <x v="1"/>
    <x v="0"/>
    <x v="3"/>
    <x v="0"/>
  </r>
  <r>
    <x v="25"/>
    <x v="1"/>
    <x v="1"/>
    <x v="1"/>
    <x v="0"/>
    <x v="6"/>
    <x v="0"/>
  </r>
  <r>
    <x v="11"/>
    <x v="6"/>
    <x v="3"/>
    <x v="0"/>
    <x v="0"/>
    <x v="4"/>
    <x v="0"/>
  </r>
  <r>
    <x v="12"/>
    <x v="9"/>
    <x v="4"/>
    <x v="1"/>
    <x v="0"/>
    <x v="4"/>
    <x v="0"/>
  </r>
  <r>
    <x v="25"/>
    <x v="6"/>
    <x v="3"/>
    <x v="1"/>
    <x v="0"/>
    <x v="6"/>
    <x v="0"/>
  </r>
  <r>
    <x v="20"/>
    <x v="7"/>
    <x v="4"/>
    <x v="1"/>
    <x v="0"/>
    <x v="1"/>
    <x v="0"/>
  </r>
  <r>
    <x v="14"/>
    <x v="2"/>
    <x v="0"/>
    <x v="1"/>
    <x v="0"/>
    <x v="5"/>
    <x v="0"/>
  </r>
  <r>
    <x v="8"/>
    <x v="9"/>
    <x v="4"/>
    <x v="1"/>
    <x v="0"/>
    <x v="6"/>
    <x v="0"/>
  </r>
  <r>
    <x v="20"/>
    <x v="6"/>
    <x v="3"/>
    <x v="2"/>
    <x v="0"/>
    <x v="1"/>
    <x v="1"/>
  </r>
  <r>
    <x v="17"/>
    <x v="6"/>
    <x v="3"/>
    <x v="1"/>
    <x v="0"/>
    <x v="6"/>
    <x v="0"/>
  </r>
  <r>
    <x v="27"/>
    <x v="1"/>
    <x v="1"/>
    <x v="1"/>
    <x v="0"/>
    <x v="6"/>
    <x v="0"/>
  </r>
  <r>
    <x v="28"/>
    <x v="4"/>
    <x v="2"/>
    <x v="3"/>
    <x v="0"/>
    <x v="1"/>
    <x v="1"/>
  </r>
  <r>
    <x v="6"/>
    <x v="2"/>
    <x v="0"/>
    <x v="1"/>
    <x v="0"/>
    <x v="2"/>
    <x v="0"/>
  </r>
  <r>
    <x v="6"/>
    <x v="2"/>
    <x v="0"/>
    <x v="1"/>
    <x v="0"/>
    <x v="2"/>
    <x v="0"/>
  </r>
  <r>
    <x v="14"/>
    <x v="2"/>
    <x v="0"/>
    <x v="1"/>
    <x v="0"/>
    <x v="5"/>
    <x v="0"/>
  </r>
  <r>
    <x v="19"/>
    <x v="9"/>
    <x v="4"/>
    <x v="1"/>
    <x v="0"/>
    <x v="6"/>
    <x v="0"/>
  </r>
  <r>
    <x v="21"/>
    <x v="9"/>
    <x v="4"/>
    <x v="1"/>
    <x v="0"/>
    <x v="1"/>
    <x v="0"/>
  </r>
  <r>
    <x v="26"/>
    <x v="6"/>
    <x v="3"/>
    <x v="1"/>
    <x v="0"/>
    <x v="3"/>
    <x v="0"/>
  </r>
  <r>
    <x v="29"/>
    <x v="7"/>
    <x v="4"/>
    <x v="1"/>
    <x v="0"/>
    <x v="4"/>
    <x v="0"/>
  </r>
  <r>
    <x v="8"/>
    <x v="8"/>
    <x v="3"/>
    <x v="0"/>
    <x v="0"/>
    <x v="6"/>
    <x v="0"/>
  </r>
  <r>
    <x v="8"/>
    <x v="6"/>
    <x v="3"/>
    <x v="1"/>
    <x v="0"/>
    <x v="6"/>
    <x v="0"/>
  </r>
  <r>
    <x v="12"/>
    <x v="7"/>
    <x v="4"/>
    <x v="1"/>
    <x v="0"/>
    <x v="4"/>
    <x v="0"/>
  </r>
  <r>
    <x v="15"/>
    <x v="6"/>
    <x v="3"/>
    <x v="3"/>
    <x v="0"/>
    <x v="5"/>
    <x v="1"/>
  </r>
  <r>
    <x v="24"/>
    <x v="8"/>
    <x v="3"/>
    <x v="1"/>
    <x v="0"/>
    <x v="5"/>
    <x v="0"/>
  </r>
  <r>
    <x v="5"/>
    <x v="6"/>
    <x v="3"/>
    <x v="3"/>
    <x v="0"/>
    <x v="4"/>
    <x v="1"/>
  </r>
  <r>
    <x v="20"/>
    <x v="8"/>
    <x v="3"/>
    <x v="1"/>
    <x v="0"/>
    <x v="1"/>
    <x v="0"/>
  </r>
  <r>
    <x v="20"/>
    <x v="4"/>
    <x v="2"/>
    <x v="0"/>
    <x v="0"/>
    <x v="1"/>
    <x v="0"/>
  </r>
  <r>
    <x v="19"/>
    <x v="7"/>
    <x v="4"/>
    <x v="0"/>
    <x v="0"/>
    <x v="6"/>
    <x v="0"/>
  </r>
  <r>
    <x v="5"/>
    <x v="0"/>
    <x v="0"/>
    <x v="3"/>
    <x v="0"/>
    <x v="4"/>
    <x v="1"/>
  </r>
  <r>
    <x v="16"/>
    <x v="8"/>
    <x v="3"/>
    <x v="2"/>
    <x v="0"/>
    <x v="0"/>
    <x v="1"/>
  </r>
  <r>
    <x v="26"/>
    <x v="5"/>
    <x v="2"/>
    <x v="1"/>
    <x v="0"/>
    <x v="3"/>
    <x v="0"/>
  </r>
  <r>
    <x v="27"/>
    <x v="5"/>
    <x v="2"/>
    <x v="3"/>
    <x v="0"/>
    <x v="6"/>
    <x v="1"/>
  </r>
  <r>
    <x v="18"/>
    <x v="2"/>
    <x v="0"/>
    <x v="0"/>
    <x v="0"/>
    <x v="0"/>
    <x v="0"/>
  </r>
  <r>
    <x v="2"/>
    <x v="4"/>
    <x v="2"/>
    <x v="1"/>
    <x v="0"/>
    <x v="0"/>
    <x v="0"/>
  </r>
  <r>
    <x v="25"/>
    <x v="3"/>
    <x v="1"/>
    <x v="1"/>
    <x v="0"/>
    <x v="6"/>
    <x v="0"/>
  </r>
  <r>
    <x v="6"/>
    <x v="2"/>
    <x v="0"/>
    <x v="2"/>
    <x v="0"/>
    <x v="2"/>
    <x v="1"/>
  </r>
  <r>
    <x v="18"/>
    <x v="8"/>
    <x v="3"/>
    <x v="1"/>
    <x v="0"/>
    <x v="0"/>
    <x v="0"/>
  </r>
  <r>
    <x v="23"/>
    <x v="0"/>
    <x v="0"/>
    <x v="1"/>
    <x v="0"/>
    <x v="3"/>
    <x v="0"/>
  </r>
  <r>
    <x v="29"/>
    <x v="8"/>
    <x v="3"/>
    <x v="1"/>
    <x v="0"/>
    <x v="4"/>
    <x v="0"/>
  </r>
  <r>
    <x v="9"/>
    <x v="7"/>
    <x v="4"/>
    <x v="1"/>
    <x v="0"/>
    <x v="2"/>
    <x v="0"/>
  </r>
  <r>
    <x v="6"/>
    <x v="1"/>
    <x v="1"/>
    <x v="1"/>
    <x v="0"/>
    <x v="2"/>
    <x v="0"/>
  </r>
  <r>
    <x v="24"/>
    <x v="5"/>
    <x v="2"/>
    <x v="1"/>
    <x v="0"/>
    <x v="5"/>
    <x v="0"/>
  </r>
  <r>
    <x v="20"/>
    <x v="6"/>
    <x v="3"/>
    <x v="1"/>
    <x v="0"/>
    <x v="1"/>
    <x v="0"/>
  </r>
  <r>
    <x v="10"/>
    <x v="6"/>
    <x v="3"/>
    <x v="1"/>
    <x v="0"/>
    <x v="2"/>
    <x v="0"/>
  </r>
  <r>
    <x v="5"/>
    <x v="5"/>
    <x v="2"/>
    <x v="3"/>
    <x v="0"/>
    <x v="4"/>
    <x v="1"/>
  </r>
  <r>
    <x v="4"/>
    <x v="3"/>
    <x v="1"/>
    <x v="3"/>
    <x v="0"/>
    <x v="3"/>
    <x v="1"/>
  </r>
  <r>
    <x v="14"/>
    <x v="5"/>
    <x v="2"/>
    <x v="1"/>
    <x v="0"/>
    <x v="5"/>
    <x v="0"/>
  </r>
  <r>
    <x v="18"/>
    <x v="6"/>
    <x v="3"/>
    <x v="1"/>
    <x v="0"/>
    <x v="0"/>
    <x v="0"/>
  </r>
  <r>
    <x v="7"/>
    <x v="1"/>
    <x v="1"/>
    <x v="0"/>
    <x v="0"/>
    <x v="5"/>
    <x v="0"/>
  </r>
  <r>
    <x v="12"/>
    <x v="0"/>
    <x v="0"/>
    <x v="3"/>
    <x v="0"/>
    <x v="4"/>
    <x v="1"/>
  </r>
  <r>
    <x v="28"/>
    <x v="9"/>
    <x v="4"/>
    <x v="1"/>
    <x v="0"/>
    <x v="1"/>
    <x v="0"/>
  </r>
  <r>
    <x v="13"/>
    <x v="3"/>
    <x v="1"/>
    <x v="1"/>
    <x v="0"/>
    <x v="3"/>
    <x v="0"/>
  </r>
  <r>
    <x v="22"/>
    <x v="4"/>
    <x v="2"/>
    <x v="1"/>
    <x v="0"/>
    <x v="2"/>
    <x v="0"/>
  </r>
  <r>
    <x v="16"/>
    <x v="4"/>
    <x v="2"/>
    <x v="1"/>
    <x v="0"/>
    <x v="0"/>
    <x v="0"/>
  </r>
  <r>
    <x v="13"/>
    <x v="1"/>
    <x v="1"/>
    <x v="1"/>
    <x v="0"/>
    <x v="3"/>
    <x v="0"/>
  </r>
  <r>
    <x v="18"/>
    <x v="4"/>
    <x v="2"/>
    <x v="1"/>
    <x v="0"/>
    <x v="0"/>
    <x v="0"/>
  </r>
  <r>
    <x v="25"/>
    <x v="9"/>
    <x v="4"/>
    <x v="1"/>
    <x v="0"/>
    <x v="6"/>
    <x v="0"/>
  </r>
  <r>
    <x v="22"/>
    <x v="3"/>
    <x v="1"/>
    <x v="1"/>
    <x v="0"/>
    <x v="2"/>
    <x v="0"/>
  </r>
  <r>
    <x v="23"/>
    <x v="9"/>
    <x v="4"/>
    <x v="1"/>
    <x v="0"/>
    <x v="3"/>
    <x v="0"/>
  </r>
  <r>
    <x v="17"/>
    <x v="3"/>
    <x v="1"/>
    <x v="1"/>
    <x v="0"/>
    <x v="6"/>
    <x v="0"/>
  </r>
  <r>
    <x v="15"/>
    <x v="1"/>
    <x v="1"/>
    <x v="1"/>
    <x v="0"/>
    <x v="5"/>
    <x v="0"/>
  </r>
  <r>
    <x v="25"/>
    <x v="2"/>
    <x v="0"/>
    <x v="1"/>
    <x v="0"/>
    <x v="6"/>
    <x v="0"/>
  </r>
  <r>
    <x v="6"/>
    <x v="0"/>
    <x v="0"/>
    <x v="1"/>
    <x v="0"/>
    <x v="2"/>
    <x v="0"/>
  </r>
  <r>
    <x v="0"/>
    <x v="5"/>
    <x v="2"/>
    <x v="0"/>
    <x v="0"/>
    <x v="0"/>
    <x v="0"/>
  </r>
  <r>
    <x v="14"/>
    <x v="8"/>
    <x v="3"/>
    <x v="0"/>
    <x v="0"/>
    <x v="5"/>
    <x v="0"/>
  </r>
  <r>
    <x v="11"/>
    <x v="7"/>
    <x v="4"/>
    <x v="1"/>
    <x v="0"/>
    <x v="4"/>
    <x v="0"/>
  </r>
  <r>
    <x v="16"/>
    <x v="4"/>
    <x v="2"/>
    <x v="1"/>
    <x v="0"/>
    <x v="0"/>
    <x v="0"/>
  </r>
  <r>
    <x v="22"/>
    <x v="1"/>
    <x v="1"/>
    <x v="1"/>
    <x v="0"/>
    <x v="2"/>
    <x v="0"/>
  </r>
  <r>
    <x v="22"/>
    <x v="4"/>
    <x v="2"/>
    <x v="1"/>
    <x v="0"/>
    <x v="2"/>
    <x v="0"/>
  </r>
  <r>
    <x v="0"/>
    <x v="9"/>
    <x v="4"/>
    <x v="3"/>
    <x v="0"/>
    <x v="0"/>
    <x v="1"/>
  </r>
  <r>
    <x v="4"/>
    <x v="8"/>
    <x v="3"/>
    <x v="1"/>
    <x v="0"/>
    <x v="3"/>
    <x v="0"/>
  </r>
  <r>
    <x v="4"/>
    <x v="2"/>
    <x v="0"/>
    <x v="1"/>
    <x v="0"/>
    <x v="3"/>
    <x v="0"/>
  </r>
  <r>
    <x v="24"/>
    <x v="4"/>
    <x v="2"/>
    <x v="3"/>
    <x v="0"/>
    <x v="5"/>
    <x v="1"/>
  </r>
  <r>
    <x v="24"/>
    <x v="7"/>
    <x v="4"/>
    <x v="1"/>
    <x v="0"/>
    <x v="5"/>
    <x v="0"/>
  </r>
  <r>
    <x v="5"/>
    <x v="1"/>
    <x v="1"/>
    <x v="3"/>
    <x v="0"/>
    <x v="4"/>
    <x v="1"/>
  </r>
  <r>
    <x v="26"/>
    <x v="2"/>
    <x v="0"/>
    <x v="3"/>
    <x v="0"/>
    <x v="3"/>
    <x v="1"/>
  </r>
  <r>
    <x v="4"/>
    <x v="8"/>
    <x v="3"/>
    <x v="3"/>
    <x v="0"/>
    <x v="3"/>
    <x v="1"/>
  </r>
  <r>
    <x v="30"/>
    <x v="2"/>
    <x v="0"/>
    <x v="1"/>
    <x v="0"/>
    <x v="1"/>
    <x v="0"/>
  </r>
  <r>
    <x v="22"/>
    <x v="3"/>
    <x v="1"/>
    <x v="1"/>
    <x v="0"/>
    <x v="2"/>
    <x v="0"/>
  </r>
  <r>
    <x v="24"/>
    <x v="1"/>
    <x v="1"/>
    <x v="1"/>
    <x v="0"/>
    <x v="5"/>
    <x v="0"/>
  </r>
  <r>
    <x v="16"/>
    <x v="5"/>
    <x v="2"/>
    <x v="0"/>
    <x v="0"/>
    <x v="0"/>
    <x v="0"/>
  </r>
  <r>
    <x v="6"/>
    <x v="6"/>
    <x v="3"/>
    <x v="1"/>
    <x v="0"/>
    <x v="2"/>
    <x v="0"/>
  </r>
  <r>
    <x v="14"/>
    <x v="6"/>
    <x v="3"/>
    <x v="3"/>
    <x v="0"/>
    <x v="5"/>
    <x v="1"/>
  </r>
  <r>
    <x v="29"/>
    <x v="5"/>
    <x v="2"/>
    <x v="1"/>
    <x v="0"/>
    <x v="4"/>
    <x v="0"/>
  </r>
  <r>
    <x v="16"/>
    <x v="3"/>
    <x v="1"/>
    <x v="3"/>
    <x v="0"/>
    <x v="0"/>
    <x v="1"/>
  </r>
  <r>
    <x v="20"/>
    <x v="5"/>
    <x v="2"/>
    <x v="1"/>
    <x v="0"/>
    <x v="1"/>
    <x v="0"/>
  </r>
  <r>
    <x v="21"/>
    <x v="7"/>
    <x v="4"/>
    <x v="1"/>
    <x v="0"/>
    <x v="1"/>
    <x v="0"/>
  </r>
  <r>
    <x v="19"/>
    <x v="3"/>
    <x v="1"/>
    <x v="1"/>
    <x v="0"/>
    <x v="6"/>
    <x v="0"/>
  </r>
  <r>
    <x v="12"/>
    <x v="7"/>
    <x v="4"/>
    <x v="1"/>
    <x v="0"/>
    <x v="4"/>
    <x v="0"/>
  </r>
  <r>
    <x v="23"/>
    <x v="8"/>
    <x v="3"/>
    <x v="2"/>
    <x v="0"/>
    <x v="3"/>
    <x v="1"/>
  </r>
  <r>
    <x v="12"/>
    <x v="0"/>
    <x v="0"/>
    <x v="1"/>
    <x v="0"/>
    <x v="4"/>
    <x v="0"/>
  </r>
  <r>
    <x v="12"/>
    <x v="1"/>
    <x v="1"/>
    <x v="1"/>
    <x v="0"/>
    <x v="4"/>
    <x v="0"/>
  </r>
  <r>
    <x v="23"/>
    <x v="3"/>
    <x v="1"/>
    <x v="0"/>
    <x v="0"/>
    <x v="3"/>
    <x v="0"/>
  </r>
  <r>
    <x v="9"/>
    <x v="3"/>
    <x v="1"/>
    <x v="0"/>
    <x v="0"/>
    <x v="2"/>
    <x v="0"/>
  </r>
  <r>
    <x v="27"/>
    <x v="2"/>
    <x v="0"/>
    <x v="1"/>
    <x v="0"/>
    <x v="6"/>
    <x v="0"/>
  </r>
  <r>
    <x v="16"/>
    <x v="5"/>
    <x v="2"/>
    <x v="1"/>
    <x v="0"/>
    <x v="0"/>
    <x v="0"/>
  </r>
  <r>
    <x v="14"/>
    <x v="2"/>
    <x v="0"/>
    <x v="3"/>
    <x v="0"/>
    <x v="5"/>
    <x v="1"/>
  </r>
  <r>
    <x v="18"/>
    <x v="4"/>
    <x v="2"/>
    <x v="1"/>
    <x v="0"/>
    <x v="0"/>
    <x v="0"/>
  </r>
  <r>
    <x v="10"/>
    <x v="3"/>
    <x v="1"/>
    <x v="1"/>
    <x v="0"/>
    <x v="2"/>
    <x v="0"/>
  </r>
  <r>
    <x v="4"/>
    <x v="7"/>
    <x v="4"/>
    <x v="1"/>
    <x v="0"/>
    <x v="3"/>
    <x v="0"/>
  </r>
  <r>
    <x v="20"/>
    <x v="9"/>
    <x v="4"/>
    <x v="1"/>
    <x v="0"/>
    <x v="1"/>
    <x v="0"/>
  </r>
  <r>
    <x v="23"/>
    <x v="8"/>
    <x v="3"/>
    <x v="1"/>
    <x v="0"/>
    <x v="3"/>
    <x v="0"/>
  </r>
  <r>
    <x v="16"/>
    <x v="8"/>
    <x v="3"/>
    <x v="1"/>
    <x v="0"/>
    <x v="0"/>
    <x v="0"/>
  </r>
  <r>
    <x v="0"/>
    <x v="2"/>
    <x v="0"/>
    <x v="1"/>
    <x v="0"/>
    <x v="0"/>
    <x v="0"/>
  </r>
  <r>
    <x v="28"/>
    <x v="0"/>
    <x v="0"/>
    <x v="3"/>
    <x v="0"/>
    <x v="1"/>
    <x v="1"/>
  </r>
  <r>
    <x v="19"/>
    <x v="1"/>
    <x v="1"/>
    <x v="0"/>
    <x v="0"/>
    <x v="6"/>
    <x v="0"/>
  </r>
  <r>
    <x v="25"/>
    <x v="6"/>
    <x v="3"/>
    <x v="1"/>
    <x v="0"/>
    <x v="6"/>
    <x v="0"/>
  </r>
  <r>
    <x v="27"/>
    <x v="3"/>
    <x v="1"/>
    <x v="0"/>
    <x v="0"/>
    <x v="6"/>
    <x v="0"/>
  </r>
  <r>
    <x v="2"/>
    <x v="3"/>
    <x v="1"/>
    <x v="1"/>
    <x v="0"/>
    <x v="0"/>
    <x v="0"/>
  </r>
  <r>
    <x v="20"/>
    <x v="4"/>
    <x v="2"/>
    <x v="3"/>
    <x v="0"/>
    <x v="1"/>
    <x v="1"/>
  </r>
  <r>
    <x v="22"/>
    <x v="4"/>
    <x v="2"/>
    <x v="1"/>
    <x v="0"/>
    <x v="2"/>
    <x v="0"/>
  </r>
  <r>
    <x v="14"/>
    <x v="3"/>
    <x v="1"/>
    <x v="1"/>
    <x v="0"/>
    <x v="5"/>
    <x v="0"/>
  </r>
  <r>
    <x v="29"/>
    <x v="3"/>
    <x v="1"/>
    <x v="1"/>
    <x v="0"/>
    <x v="4"/>
    <x v="0"/>
  </r>
  <r>
    <x v="16"/>
    <x v="0"/>
    <x v="0"/>
    <x v="1"/>
    <x v="0"/>
    <x v="0"/>
    <x v="0"/>
  </r>
  <r>
    <x v="16"/>
    <x v="4"/>
    <x v="2"/>
    <x v="1"/>
    <x v="0"/>
    <x v="0"/>
    <x v="0"/>
  </r>
  <r>
    <x v="7"/>
    <x v="5"/>
    <x v="2"/>
    <x v="1"/>
    <x v="0"/>
    <x v="5"/>
    <x v="0"/>
  </r>
  <r>
    <x v="7"/>
    <x v="9"/>
    <x v="4"/>
    <x v="1"/>
    <x v="0"/>
    <x v="5"/>
    <x v="0"/>
  </r>
  <r>
    <x v="15"/>
    <x v="1"/>
    <x v="1"/>
    <x v="1"/>
    <x v="0"/>
    <x v="5"/>
    <x v="0"/>
  </r>
  <r>
    <x v="28"/>
    <x v="3"/>
    <x v="1"/>
    <x v="1"/>
    <x v="0"/>
    <x v="1"/>
    <x v="0"/>
  </r>
  <r>
    <x v="6"/>
    <x v="0"/>
    <x v="0"/>
    <x v="1"/>
    <x v="0"/>
    <x v="2"/>
    <x v="0"/>
  </r>
  <r>
    <x v="3"/>
    <x v="8"/>
    <x v="3"/>
    <x v="3"/>
    <x v="0"/>
    <x v="2"/>
    <x v="1"/>
  </r>
  <r>
    <x v="14"/>
    <x v="5"/>
    <x v="2"/>
    <x v="1"/>
    <x v="0"/>
    <x v="5"/>
    <x v="0"/>
  </r>
  <r>
    <x v="22"/>
    <x v="8"/>
    <x v="3"/>
    <x v="0"/>
    <x v="0"/>
    <x v="2"/>
    <x v="0"/>
  </r>
  <r>
    <x v="14"/>
    <x v="6"/>
    <x v="3"/>
    <x v="1"/>
    <x v="0"/>
    <x v="5"/>
    <x v="0"/>
  </r>
  <r>
    <x v="16"/>
    <x v="9"/>
    <x v="4"/>
    <x v="3"/>
    <x v="0"/>
    <x v="0"/>
    <x v="1"/>
  </r>
  <r>
    <x v="5"/>
    <x v="3"/>
    <x v="1"/>
    <x v="3"/>
    <x v="0"/>
    <x v="4"/>
    <x v="1"/>
  </r>
  <r>
    <x v="10"/>
    <x v="8"/>
    <x v="3"/>
    <x v="1"/>
    <x v="0"/>
    <x v="2"/>
    <x v="0"/>
  </r>
  <r>
    <x v="28"/>
    <x v="9"/>
    <x v="4"/>
    <x v="1"/>
    <x v="0"/>
    <x v="1"/>
    <x v="0"/>
  </r>
  <r>
    <x v="10"/>
    <x v="2"/>
    <x v="0"/>
    <x v="1"/>
    <x v="0"/>
    <x v="2"/>
    <x v="0"/>
  </r>
  <r>
    <x v="17"/>
    <x v="3"/>
    <x v="1"/>
    <x v="2"/>
    <x v="0"/>
    <x v="6"/>
    <x v="1"/>
  </r>
  <r>
    <x v="19"/>
    <x v="7"/>
    <x v="4"/>
    <x v="1"/>
    <x v="0"/>
    <x v="6"/>
    <x v="0"/>
  </r>
  <r>
    <x v="12"/>
    <x v="2"/>
    <x v="0"/>
    <x v="1"/>
    <x v="0"/>
    <x v="4"/>
    <x v="0"/>
  </r>
  <r>
    <x v="16"/>
    <x v="0"/>
    <x v="0"/>
    <x v="1"/>
    <x v="0"/>
    <x v="0"/>
    <x v="0"/>
  </r>
  <r>
    <x v="12"/>
    <x v="9"/>
    <x v="4"/>
    <x v="1"/>
    <x v="0"/>
    <x v="4"/>
    <x v="0"/>
  </r>
  <r>
    <x v="26"/>
    <x v="8"/>
    <x v="3"/>
    <x v="1"/>
    <x v="0"/>
    <x v="3"/>
    <x v="0"/>
  </r>
  <r>
    <x v="11"/>
    <x v="9"/>
    <x v="4"/>
    <x v="1"/>
    <x v="0"/>
    <x v="4"/>
    <x v="0"/>
  </r>
  <r>
    <x v="9"/>
    <x v="2"/>
    <x v="0"/>
    <x v="1"/>
    <x v="0"/>
    <x v="2"/>
    <x v="0"/>
  </r>
  <r>
    <x v="11"/>
    <x v="9"/>
    <x v="4"/>
    <x v="1"/>
    <x v="0"/>
    <x v="4"/>
    <x v="0"/>
  </r>
  <r>
    <x v="4"/>
    <x v="1"/>
    <x v="1"/>
    <x v="0"/>
    <x v="0"/>
    <x v="3"/>
    <x v="0"/>
  </r>
  <r>
    <x v="0"/>
    <x v="8"/>
    <x v="3"/>
    <x v="0"/>
    <x v="0"/>
    <x v="0"/>
    <x v="0"/>
  </r>
  <r>
    <x v="18"/>
    <x v="5"/>
    <x v="2"/>
    <x v="1"/>
    <x v="0"/>
    <x v="0"/>
    <x v="0"/>
  </r>
  <r>
    <x v="27"/>
    <x v="5"/>
    <x v="2"/>
    <x v="1"/>
    <x v="0"/>
    <x v="6"/>
    <x v="0"/>
  </r>
  <r>
    <x v="22"/>
    <x v="1"/>
    <x v="1"/>
    <x v="3"/>
    <x v="0"/>
    <x v="2"/>
    <x v="1"/>
  </r>
  <r>
    <x v="15"/>
    <x v="6"/>
    <x v="3"/>
    <x v="0"/>
    <x v="0"/>
    <x v="5"/>
    <x v="0"/>
  </r>
  <r>
    <x v="14"/>
    <x v="3"/>
    <x v="1"/>
    <x v="3"/>
    <x v="0"/>
    <x v="5"/>
    <x v="1"/>
  </r>
  <r>
    <x v="0"/>
    <x v="5"/>
    <x v="2"/>
    <x v="1"/>
    <x v="0"/>
    <x v="0"/>
    <x v="0"/>
  </r>
  <r>
    <x v="23"/>
    <x v="0"/>
    <x v="0"/>
    <x v="3"/>
    <x v="0"/>
    <x v="3"/>
    <x v="1"/>
  </r>
  <r>
    <x v="15"/>
    <x v="7"/>
    <x v="4"/>
    <x v="1"/>
    <x v="0"/>
    <x v="5"/>
    <x v="0"/>
  </r>
  <r>
    <x v="16"/>
    <x v="3"/>
    <x v="1"/>
    <x v="3"/>
    <x v="0"/>
    <x v="0"/>
    <x v="1"/>
  </r>
  <r>
    <x v="21"/>
    <x v="3"/>
    <x v="1"/>
    <x v="1"/>
    <x v="0"/>
    <x v="1"/>
    <x v="0"/>
  </r>
  <r>
    <x v="17"/>
    <x v="1"/>
    <x v="1"/>
    <x v="1"/>
    <x v="0"/>
    <x v="6"/>
    <x v="0"/>
  </r>
  <r>
    <x v="19"/>
    <x v="6"/>
    <x v="3"/>
    <x v="3"/>
    <x v="0"/>
    <x v="6"/>
    <x v="1"/>
  </r>
  <r>
    <x v="3"/>
    <x v="2"/>
    <x v="0"/>
    <x v="1"/>
    <x v="0"/>
    <x v="2"/>
    <x v="0"/>
  </r>
  <r>
    <x v="6"/>
    <x v="9"/>
    <x v="4"/>
    <x v="2"/>
    <x v="0"/>
    <x v="2"/>
    <x v="1"/>
  </r>
  <r>
    <x v="21"/>
    <x v="7"/>
    <x v="4"/>
    <x v="1"/>
    <x v="0"/>
    <x v="1"/>
    <x v="0"/>
  </r>
  <r>
    <x v="15"/>
    <x v="1"/>
    <x v="1"/>
    <x v="0"/>
    <x v="0"/>
    <x v="5"/>
    <x v="0"/>
  </r>
  <r>
    <x v="20"/>
    <x v="3"/>
    <x v="1"/>
    <x v="1"/>
    <x v="0"/>
    <x v="1"/>
    <x v="0"/>
  </r>
  <r>
    <x v="29"/>
    <x v="1"/>
    <x v="1"/>
    <x v="1"/>
    <x v="0"/>
    <x v="4"/>
    <x v="0"/>
  </r>
  <r>
    <x v="26"/>
    <x v="7"/>
    <x v="4"/>
    <x v="3"/>
    <x v="0"/>
    <x v="3"/>
    <x v="1"/>
  </r>
  <r>
    <x v="23"/>
    <x v="8"/>
    <x v="3"/>
    <x v="1"/>
    <x v="0"/>
    <x v="3"/>
    <x v="0"/>
  </r>
  <r>
    <x v="11"/>
    <x v="7"/>
    <x v="4"/>
    <x v="1"/>
    <x v="0"/>
    <x v="4"/>
    <x v="0"/>
  </r>
  <r>
    <x v="6"/>
    <x v="4"/>
    <x v="2"/>
    <x v="1"/>
    <x v="0"/>
    <x v="2"/>
    <x v="0"/>
  </r>
  <r>
    <x v="2"/>
    <x v="6"/>
    <x v="3"/>
    <x v="1"/>
    <x v="0"/>
    <x v="0"/>
    <x v="0"/>
  </r>
  <r>
    <x v="14"/>
    <x v="1"/>
    <x v="1"/>
    <x v="1"/>
    <x v="0"/>
    <x v="5"/>
    <x v="0"/>
  </r>
  <r>
    <x v="16"/>
    <x v="5"/>
    <x v="2"/>
    <x v="1"/>
    <x v="0"/>
    <x v="0"/>
    <x v="0"/>
  </r>
  <r>
    <x v="6"/>
    <x v="7"/>
    <x v="4"/>
    <x v="1"/>
    <x v="0"/>
    <x v="2"/>
    <x v="0"/>
  </r>
  <r>
    <x v="14"/>
    <x v="2"/>
    <x v="0"/>
    <x v="1"/>
    <x v="0"/>
    <x v="5"/>
    <x v="0"/>
  </r>
  <r>
    <x v="22"/>
    <x v="2"/>
    <x v="0"/>
    <x v="1"/>
    <x v="0"/>
    <x v="2"/>
    <x v="0"/>
  </r>
  <r>
    <x v="0"/>
    <x v="7"/>
    <x v="4"/>
    <x v="1"/>
    <x v="0"/>
    <x v="0"/>
    <x v="0"/>
  </r>
  <r>
    <x v="23"/>
    <x v="5"/>
    <x v="2"/>
    <x v="0"/>
    <x v="0"/>
    <x v="3"/>
    <x v="0"/>
  </r>
  <r>
    <x v="19"/>
    <x v="7"/>
    <x v="4"/>
    <x v="1"/>
    <x v="0"/>
    <x v="6"/>
    <x v="0"/>
  </r>
  <r>
    <x v="29"/>
    <x v="3"/>
    <x v="1"/>
    <x v="1"/>
    <x v="0"/>
    <x v="4"/>
    <x v="0"/>
  </r>
  <r>
    <x v="8"/>
    <x v="8"/>
    <x v="3"/>
    <x v="0"/>
    <x v="0"/>
    <x v="6"/>
    <x v="0"/>
  </r>
  <r>
    <x v="15"/>
    <x v="1"/>
    <x v="1"/>
    <x v="1"/>
    <x v="0"/>
    <x v="5"/>
    <x v="0"/>
  </r>
  <r>
    <x v="23"/>
    <x v="3"/>
    <x v="1"/>
    <x v="1"/>
    <x v="0"/>
    <x v="3"/>
    <x v="0"/>
  </r>
  <r>
    <x v="24"/>
    <x v="9"/>
    <x v="4"/>
    <x v="1"/>
    <x v="0"/>
    <x v="5"/>
    <x v="0"/>
  </r>
  <r>
    <x v="20"/>
    <x v="2"/>
    <x v="0"/>
    <x v="1"/>
    <x v="0"/>
    <x v="1"/>
    <x v="0"/>
  </r>
  <r>
    <x v="18"/>
    <x v="8"/>
    <x v="3"/>
    <x v="1"/>
    <x v="0"/>
    <x v="0"/>
    <x v="0"/>
  </r>
  <r>
    <x v="29"/>
    <x v="1"/>
    <x v="1"/>
    <x v="1"/>
    <x v="0"/>
    <x v="4"/>
    <x v="0"/>
  </r>
  <r>
    <x v="14"/>
    <x v="8"/>
    <x v="3"/>
    <x v="1"/>
    <x v="0"/>
    <x v="5"/>
    <x v="0"/>
  </r>
  <r>
    <x v="27"/>
    <x v="1"/>
    <x v="1"/>
    <x v="1"/>
    <x v="0"/>
    <x v="6"/>
    <x v="0"/>
  </r>
  <r>
    <x v="1"/>
    <x v="8"/>
    <x v="3"/>
    <x v="3"/>
    <x v="0"/>
    <x v="1"/>
    <x v="1"/>
  </r>
  <r>
    <x v="4"/>
    <x v="9"/>
    <x v="4"/>
    <x v="1"/>
    <x v="0"/>
    <x v="3"/>
    <x v="0"/>
  </r>
  <r>
    <x v="11"/>
    <x v="8"/>
    <x v="3"/>
    <x v="1"/>
    <x v="0"/>
    <x v="4"/>
    <x v="0"/>
  </r>
  <r>
    <x v="2"/>
    <x v="5"/>
    <x v="2"/>
    <x v="1"/>
    <x v="0"/>
    <x v="0"/>
    <x v="0"/>
  </r>
  <r>
    <x v="15"/>
    <x v="2"/>
    <x v="0"/>
    <x v="1"/>
    <x v="0"/>
    <x v="5"/>
    <x v="0"/>
  </r>
  <r>
    <x v="27"/>
    <x v="0"/>
    <x v="0"/>
    <x v="1"/>
    <x v="0"/>
    <x v="6"/>
    <x v="0"/>
  </r>
  <r>
    <x v="7"/>
    <x v="8"/>
    <x v="3"/>
    <x v="0"/>
    <x v="0"/>
    <x v="5"/>
    <x v="0"/>
  </r>
  <r>
    <x v="17"/>
    <x v="2"/>
    <x v="0"/>
    <x v="1"/>
    <x v="0"/>
    <x v="6"/>
    <x v="0"/>
  </r>
  <r>
    <x v="26"/>
    <x v="0"/>
    <x v="0"/>
    <x v="1"/>
    <x v="0"/>
    <x v="3"/>
    <x v="0"/>
  </r>
  <r>
    <x v="29"/>
    <x v="5"/>
    <x v="2"/>
    <x v="1"/>
    <x v="0"/>
    <x v="4"/>
    <x v="0"/>
  </r>
  <r>
    <x v="12"/>
    <x v="2"/>
    <x v="0"/>
    <x v="1"/>
    <x v="0"/>
    <x v="4"/>
    <x v="0"/>
  </r>
  <r>
    <x v="30"/>
    <x v="0"/>
    <x v="0"/>
    <x v="1"/>
    <x v="0"/>
    <x v="1"/>
    <x v="0"/>
  </r>
  <r>
    <x v="25"/>
    <x v="4"/>
    <x v="2"/>
    <x v="1"/>
    <x v="0"/>
    <x v="6"/>
    <x v="0"/>
  </r>
  <r>
    <x v="9"/>
    <x v="7"/>
    <x v="4"/>
    <x v="1"/>
    <x v="0"/>
    <x v="2"/>
    <x v="0"/>
  </r>
  <r>
    <x v="0"/>
    <x v="8"/>
    <x v="3"/>
    <x v="1"/>
    <x v="0"/>
    <x v="0"/>
    <x v="0"/>
  </r>
  <r>
    <x v="18"/>
    <x v="6"/>
    <x v="3"/>
    <x v="1"/>
    <x v="0"/>
    <x v="0"/>
    <x v="0"/>
  </r>
  <r>
    <x v="23"/>
    <x v="2"/>
    <x v="0"/>
    <x v="1"/>
    <x v="0"/>
    <x v="3"/>
    <x v="0"/>
  </r>
  <r>
    <x v="15"/>
    <x v="1"/>
    <x v="1"/>
    <x v="3"/>
    <x v="0"/>
    <x v="5"/>
    <x v="1"/>
  </r>
  <r>
    <x v="3"/>
    <x v="4"/>
    <x v="2"/>
    <x v="3"/>
    <x v="0"/>
    <x v="2"/>
    <x v="1"/>
  </r>
  <r>
    <x v="3"/>
    <x v="3"/>
    <x v="1"/>
    <x v="0"/>
    <x v="0"/>
    <x v="2"/>
    <x v="0"/>
  </r>
  <r>
    <x v="8"/>
    <x v="7"/>
    <x v="4"/>
    <x v="1"/>
    <x v="0"/>
    <x v="6"/>
    <x v="0"/>
  </r>
  <r>
    <x v="22"/>
    <x v="0"/>
    <x v="0"/>
    <x v="2"/>
    <x v="0"/>
    <x v="2"/>
    <x v="1"/>
  </r>
  <r>
    <x v="27"/>
    <x v="7"/>
    <x v="4"/>
    <x v="0"/>
    <x v="0"/>
    <x v="6"/>
    <x v="0"/>
  </r>
  <r>
    <x v="7"/>
    <x v="2"/>
    <x v="0"/>
    <x v="1"/>
    <x v="0"/>
    <x v="5"/>
    <x v="0"/>
  </r>
  <r>
    <x v="12"/>
    <x v="2"/>
    <x v="0"/>
    <x v="0"/>
    <x v="0"/>
    <x v="4"/>
    <x v="0"/>
  </r>
  <r>
    <x v="2"/>
    <x v="2"/>
    <x v="0"/>
    <x v="3"/>
    <x v="0"/>
    <x v="0"/>
    <x v="1"/>
  </r>
  <r>
    <x v="3"/>
    <x v="1"/>
    <x v="1"/>
    <x v="1"/>
    <x v="0"/>
    <x v="2"/>
    <x v="0"/>
  </r>
  <r>
    <x v="27"/>
    <x v="8"/>
    <x v="3"/>
    <x v="0"/>
    <x v="0"/>
    <x v="6"/>
    <x v="0"/>
  </r>
  <r>
    <x v="25"/>
    <x v="5"/>
    <x v="2"/>
    <x v="0"/>
    <x v="0"/>
    <x v="6"/>
    <x v="0"/>
  </r>
  <r>
    <x v="27"/>
    <x v="2"/>
    <x v="0"/>
    <x v="1"/>
    <x v="0"/>
    <x v="6"/>
    <x v="0"/>
  </r>
  <r>
    <x v="2"/>
    <x v="0"/>
    <x v="0"/>
    <x v="2"/>
    <x v="0"/>
    <x v="0"/>
    <x v="1"/>
  </r>
  <r>
    <x v="13"/>
    <x v="2"/>
    <x v="0"/>
    <x v="1"/>
    <x v="0"/>
    <x v="3"/>
    <x v="0"/>
  </r>
  <r>
    <x v="27"/>
    <x v="2"/>
    <x v="0"/>
    <x v="0"/>
    <x v="0"/>
    <x v="6"/>
    <x v="0"/>
  </r>
  <r>
    <x v="19"/>
    <x v="9"/>
    <x v="4"/>
    <x v="1"/>
    <x v="0"/>
    <x v="6"/>
    <x v="0"/>
  </r>
  <r>
    <x v="2"/>
    <x v="4"/>
    <x v="2"/>
    <x v="1"/>
    <x v="0"/>
    <x v="0"/>
    <x v="0"/>
  </r>
  <r>
    <x v="24"/>
    <x v="5"/>
    <x v="2"/>
    <x v="1"/>
    <x v="0"/>
    <x v="5"/>
    <x v="0"/>
  </r>
  <r>
    <x v="6"/>
    <x v="9"/>
    <x v="4"/>
    <x v="0"/>
    <x v="0"/>
    <x v="2"/>
    <x v="0"/>
  </r>
  <r>
    <x v="9"/>
    <x v="1"/>
    <x v="1"/>
    <x v="1"/>
    <x v="0"/>
    <x v="2"/>
    <x v="0"/>
  </r>
  <r>
    <x v="0"/>
    <x v="3"/>
    <x v="1"/>
    <x v="1"/>
    <x v="0"/>
    <x v="0"/>
    <x v="0"/>
  </r>
  <r>
    <x v="16"/>
    <x v="0"/>
    <x v="0"/>
    <x v="0"/>
    <x v="0"/>
    <x v="0"/>
    <x v="0"/>
  </r>
  <r>
    <x v="22"/>
    <x v="2"/>
    <x v="0"/>
    <x v="2"/>
    <x v="0"/>
    <x v="2"/>
    <x v="1"/>
  </r>
  <r>
    <x v="0"/>
    <x v="9"/>
    <x v="4"/>
    <x v="1"/>
    <x v="0"/>
    <x v="0"/>
    <x v="0"/>
  </r>
  <r>
    <x v="19"/>
    <x v="8"/>
    <x v="3"/>
    <x v="1"/>
    <x v="0"/>
    <x v="6"/>
    <x v="0"/>
  </r>
  <r>
    <x v="10"/>
    <x v="1"/>
    <x v="1"/>
    <x v="0"/>
    <x v="0"/>
    <x v="2"/>
    <x v="0"/>
  </r>
  <r>
    <x v="24"/>
    <x v="5"/>
    <x v="2"/>
    <x v="1"/>
    <x v="0"/>
    <x v="5"/>
    <x v="0"/>
  </r>
  <r>
    <x v="18"/>
    <x v="9"/>
    <x v="4"/>
    <x v="1"/>
    <x v="0"/>
    <x v="0"/>
    <x v="0"/>
  </r>
  <r>
    <x v="4"/>
    <x v="6"/>
    <x v="3"/>
    <x v="1"/>
    <x v="0"/>
    <x v="3"/>
    <x v="0"/>
  </r>
  <r>
    <x v="7"/>
    <x v="0"/>
    <x v="0"/>
    <x v="1"/>
    <x v="0"/>
    <x v="5"/>
    <x v="0"/>
  </r>
  <r>
    <x v="6"/>
    <x v="3"/>
    <x v="1"/>
    <x v="1"/>
    <x v="0"/>
    <x v="2"/>
    <x v="0"/>
  </r>
  <r>
    <x v="28"/>
    <x v="5"/>
    <x v="2"/>
    <x v="1"/>
    <x v="0"/>
    <x v="1"/>
    <x v="0"/>
  </r>
  <r>
    <x v="15"/>
    <x v="7"/>
    <x v="4"/>
    <x v="0"/>
    <x v="0"/>
    <x v="5"/>
    <x v="0"/>
  </r>
  <r>
    <x v="9"/>
    <x v="8"/>
    <x v="3"/>
    <x v="1"/>
    <x v="0"/>
    <x v="2"/>
    <x v="0"/>
  </r>
  <r>
    <x v="25"/>
    <x v="8"/>
    <x v="3"/>
    <x v="0"/>
    <x v="0"/>
    <x v="6"/>
    <x v="0"/>
  </r>
  <r>
    <x v="21"/>
    <x v="0"/>
    <x v="0"/>
    <x v="1"/>
    <x v="0"/>
    <x v="1"/>
    <x v="0"/>
  </r>
  <r>
    <x v="16"/>
    <x v="1"/>
    <x v="1"/>
    <x v="1"/>
    <x v="0"/>
    <x v="0"/>
    <x v="0"/>
  </r>
  <r>
    <x v="15"/>
    <x v="4"/>
    <x v="2"/>
    <x v="1"/>
    <x v="0"/>
    <x v="5"/>
    <x v="0"/>
  </r>
  <r>
    <x v="28"/>
    <x v="1"/>
    <x v="1"/>
    <x v="1"/>
    <x v="0"/>
    <x v="1"/>
    <x v="0"/>
  </r>
  <r>
    <x v="14"/>
    <x v="7"/>
    <x v="4"/>
    <x v="1"/>
    <x v="0"/>
    <x v="5"/>
    <x v="0"/>
  </r>
  <r>
    <x v="2"/>
    <x v="2"/>
    <x v="0"/>
    <x v="1"/>
    <x v="0"/>
    <x v="0"/>
    <x v="0"/>
  </r>
  <r>
    <x v="26"/>
    <x v="6"/>
    <x v="3"/>
    <x v="1"/>
    <x v="0"/>
    <x v="3"/>
    <x v="0"/>
  </r>
  <r>
    <x v="29"/>
    <x v="1"/>
    <x v="1"/>
    <x v="1"/>
    <x v="0"/>
    <x v="4"/>
    <x v="0"/>
  </r>
  <r>
    <x v="30"/>
    <x v="6"/>
    <x v="3"/>
    <x v="1"/>
    <x v="0"/>
    <x v="1"/>
    <x v="0"/>
  </r>
  <r>
    <x v="9"/>
    <x v="8"/>
    <x v="3"/>
    <x v="1"/>
    <x v="0"/>
    <x v="2"/>
    <x v="0"/>
  </r>
  <r>
    <x v="12"/>
    <x v="4"/>
    <x v="2"/>
    <x v="1"/>
    <x v="0"/>
    <x v="4"/>
    <x v="0"/>
  </r>
  <r>
    <x v="4"/>
    <x v="4"/>
    <x v="2"/>
    <x v="1"/>
    <x v="0"/>
    <x v="3"/>
    <x v="0"/>
  </r>
  <r>
    <x v="2"/>
    <x v="8"/>
    <x v="3"/>
    <x v="1"/>
    <x v="0"/>
    <x v="0"/>
    <x v="0"/>
  </r>
  <r>
    <x v="17"/>
    <x v="2"/>
    <x v="0"/>
    <x v="1"/>
    <x v="0"/>
    <x v="6"/>
    <x v="0"/>
  </r>
  <r>
    <x v="21"/>
    <x v="5"/>
    <x v="2"/>
    <x v="1"/>
    <x v="0"/>
    <x v="1"/>
    <x v="0"/>
  </r>
  <r>
    <x v="4"/>
    <x v="1"/>
    <x v="1"/>
    <x v="1"/>
    <x v="0"/>
    <x v="3"/>
    <x v="0"/>
  </r>
  <r>
    <x v="7"/>
    <x v="3"/>
    <x v="1"/>
    <x v="1"/>
    <x v="0"/>
    <x v="5"/>
    <x v="0"/>
  </r>
  <r>
    <x v="26"/>
    <x v="5"/>
    <x v="2"/>
    <x v="1"/>
    <x v="0"/>
    <x v="3"/>
    <x v="0"/>
  </r>
  <r>
    <x v="21"/>
    <x v="3"/>
    <x v="1"/>
    <x v="1"/>
    <x v="0"/>
    <x v="1"/>
    <x v="0"/>
  </r>
  <r>
    <x v="25"/>
    <x v="0"/>
    <x v="0"/>
    <x v="1"/>
    <x v="0"/>
    <x v="6"/>
    <x v="0"/>
  </r>
  <r>
    <x v="26"/>
    <x v="5"/>
    <x v="2"/>
    <x v="1"/>
    <x v="0"/>
    <x v="3"/>
    <x v="0"/>
  </r>
  <r>
    <x v="22"/>
    <x v="3"/>
    <x v="1"/>
    <x v="1"/>
    <x v="0"/>
    <x v="2"/>
    <x v="0"/>
  </r>
  <r>
    <x v="2"/>
    <x v="2"/>
    <x v="0"/>
    <x v="0"/>
    <x v="0"/>
    <x v="0"/>
    <x v="0"/>
  </r>
  <r>
    <x v="15"/>
    <x v="3"/>
    <x v="1"/>
    <x v="0"/>
    <x v="0"/>
    <x v="5"/>
    <x v="0"/>
  </r>
  <r>
    <x v="12"/>
    <x v="3"/>
    <x v="1"/>
    <x v="1"/>
    <x v="0"/>
    <x v="4"/>
    <x v="0"/>
  </r>
  <r>
    <x v="14"/>
    <x v="6"/>
    <x v="3"/>
    <x v="2"/>
    <x v="0"/>
    <x v="5"/>
    <x v="1"/>
  </r>
  <r>
    <x v="5"/>
    <x v="4"/>
    <x v="2"/>
    <x v="3"/>
    <x v="0"/>
    <x v="4"/>
    <x v="1"/>
  </r>
  <r>
    <x v="7"/>
    <x v="1"/>
    <x v="1"/>
    <x v="1"/>
    <x v="0"/>
    <x v="5"/>
    <x v="0"/>
  </r>
  <r>
    <x v="6"/>
    <x v="6"/>
    <x v="3"/>
    <x v="1"/>
    <x v="0"/>
    <x v="2"/>
    <x v="0"/>
  </r>
  <r>
    <x v="12"/>
    <x v="0"/>
    <x v="0"/>
    <x v="3"/>
    <x v="0"/>
    <x v="4"/>
    <x v="1"/>
  </r>
  <r>
    <x v="18"/>
    <x v="8"/>
    <x v="3"/>
    <x v="0"/>
    <x v="0"/>
    <x v="0"/>
    <x v="0"/>
  </r>
  <r>
    <x v="11"/>
    <x v="5"/>
    <x v="2"/>
    <x v="1"/>
    <x v="0"/>
    <x v="4"/>
    <x v="0"/>
  </r>
  <r>
    <x v="11"/>
    <x v="5"/>
    <x v="2"/>
    <x v="2"/>
    <x v="0"/>
    <x v="4"/>
    <x v="1"/>
  </r>
  <r>
    <x v="13"/>
    <x v="3"/>
    <x v="1"/>
    <x v="2"/>
    <x v="0"/>
    <x v="3"/>
    <x v="1"/>
  </r>
  <r>
    <x v="21"/>
    <x v="6"/>
    <x v="3"/>
    <x v="1"/>
    <x v="0"/>
    <x v="1"/>
    <x v="0"/>
  </r>
  <r>
    <x v="5"/>
    <x v="6"/>
    <x v="3"/>
    <x v="3"/>
    <x v="0"/>
    <x v="4"/>
    <x v="1"/>
  </r>
  <r>
    <x v="19"/>
    <x v="2"/>
    <x v="0"/>
    <x v="1"/>
    <x v="0"/>
    <x v="6"/>
    <x v="0"/>
  </r>
  <r>
    <x v="5"/>
    <x v="8"/>
    <x v="3"/>
    <x v="1"/>
    <x v="0"/>
    <x v="4"/>
    <x v="0"/>
  </r>
  <r>
    <x v="3"/>
    <x v="6"/>
    <x v="3"/>
    <x v="3"/>
    <x v="0"/>
    <x v="2"/>
    <x v="1"/>
  </r>
  <r>
    <x v="16"/>
    <x v="1"/>
    <x v="1"/>
    <x v="1"/>
    <x v="0"/>
    <x v="0"/>
    <x v="0"/>
  </r>
  <r>
    <x v="0"/>
    <x v="0"/>
    <x v="0"/>
    <x v="1"/>
    <x v="0"/>
    <x v="0"/>
    <x v="0"/>
  </r>
  <r>
    <x v="30"/>
    <x v="2"/>
    <x v="0"/>
    <x v="1"/>
    <x v="0"/>
    <x v="1"/>
    <x v="0"/>
  </r>
  <r>
    <x v="8"/>
    <x v="5"/>
    <x v="2"/>
    <x v="1"/>
    <x v="0"/>
    <x v="6"/>
    <x v="0"/>
  </r>
  <r>
    <x v="13"/>
    <x v="6"/>
    <x v="3"/>
    <x v="2"/>
    <x v="0"/>
    <x v="3"/>
    <x v="1"/>
  </r>
  <r>
    <x v="5"/>
    <x v="1"/>
    <x v="1"/>
    <x v="1"/>
    <x v="0"/>
    <x v="4"/>
    <x v="0"/>
  </r>
  <r>
    <x v="5"/>
    <x v="2"/>
    <x v="0"/>
    <x v="0"/>
    <x v="0"/>
    <x v="4"/>
    <x v="0"/>
  </r>
  <r>
    <x v="1"/>
    <x v="9"/>
    <x v="4"/>
    <x v="1"/>
    <x v="0"/>
    <x v="1"/>
    <x v="0"/>
  </r>
  <r>
    <x v="0"/>
    <x v="2"/>
    <x v="0"/>
    <x v="1"/>
    <x v="0"/>
    <x v="0"/>
    <x v="0"/>
  </r>
  <r>
    <x v="11"/>
    <x v="7"/>
    <x v="4"/>
    <x v="0"/>
    <x v="0"/>
    <x v="4"/>
    <x v="0"/>
  </r>
  <r>
    <x v="18"/>
    <x v="4"/>
    <x v="2"/>
    <x v="3"/>
    <x v="0"/>
    <x v="0"/>
    <x v="1"/>
  </r>
  <r>
    <x v="26"/>
    <x v="8"/>
    <x v="3"/>
    <x v="3"/>
    <x v="0"/>
    <x v="3"/>
    <x v="1"/>
  </r>
  <r>
    <x v="25"/>
    <x v="0"/>
    <x v="0"/>
    <x v="2"/>
    <x v="0"/>
    <x v="6"/>
    <x v="1"/>
  </r>
  <r>
    <x v="25"/>
    <x v="5"/>
    <x v="2"/>
    <x v="0"/>
    <x v="0"/>
    <x v="6"/>
    <x v="0"/>
  </r>
  <r>
    <x v="23"/>
    <x v="3"/>
    <x v="1"/>
    <x v="1"/>
    <x v="0"/>
    <x v="3"/>
    <x v="0"/>
  </r>
  <r>
    <x v="4"/>
    <x v="2"/>
    <x v="0"/>
    <x v="1"/>
    <x v="0"/>
    <x v="3"/>
    <x v="0"/>
  </r>
  <r>
    <x v="14"/>
    <x v="6"/>
    <x v="3"/>
    <x v="0"/>
    <x v="0"/>
    <x v="5"/>
    <x v="0"/>
  </r>
  <r>
    <x v="0"/>
    <x v="2"/>
    <x v="0"/>
    <x v="1"/>
    <x v="0"/>
    <x v="0"/>
    <x v="0"/>
  </r>
  <r>
    <x v="2"/>
    <x v="3"/>
    <x v="1"/>
    <x v="1"/>
    <x v="0"/>
    <x v="0"/>
    <x v="0"/>
  </r>
  <r>
    <x v="5"/>
    <x v="5"/>
    <x v="2"/>
    <x v="0"/>
    <x v="0"/>
    <x v="4"/>
    <x v="0"/>
  </r>
  <r>
    <x v="17"/>
    <x v="8"/>
    <x v="3"/>
    <x v="1"/>
    <x v="0"/>
    <x v="6"/>
    <x v="0"/>
  </r>
  <r>
    <x v="14"/>
    <x v="3"/>
    <x v="1"/>
    <x v="1"/>
    <x v="0"/>
    <x v="5"/>
    <x v="0"/>
  </r>
  <r>
    <x v="16"/>
    <x v="7"/>
    <x v="4"/>
    <x v="0"/>
    <x v="0"/>
    <x v="0"/>
    <x v="0"/>
  </r>
  <r>
    <x v="28"/>
    <x v="8"/>
    <x v="3"/>
    <x v="1"/>
    <x v="0"/>
    <x v="1"/>
    <x v="0"/>
  </r>
  <r>
    <x v="7"/>
    <x v="4"/>
    <x v="2"/>
    <x v="0"/>
    <x v="0"/>
    <x v="5"/>
    <x v="0"/>
  </r>
  <r>
    <x v="23"/>
    <x v="0"/>
    <x v="0"/>
    <x v="0"/>
    <x v="0"/>
    <x v="3"/>
    <x v="0"/>
  </r>
  <r>
    <x v="3"/>
    <x v="8"/>
    <x v="3"/>
    <x v="0"/>
    <x v="0"/>
    <x v="2"/>
    <x v="0"/>
  </r>
  <r>
    <x v="4"/>
    <x v="2"/>
    <x v="0"/>
    <x v="1"/>
    <x v="0"/>
    <x v="3"/>
    <x v="0"/>
  </r>
  <r>
    <x v="23"/>
    <x v="4"/>
    <x v="2"/>
    <x v="1"/>
    <x v="0"/>
    <x v="3"/>
    <x v="0"/>
  </r>
  <r>
    <x v="16"/>
    <x v="3"/>
    <x v="1"/>
    <x v="1"/>
    <x v="0"/>
    <x v="0"/>
    <x v="0"/>
  </r>
  <r>
    <x v="11"/>
    <x v="7"/>
    <x v="4"/>
    <x v="0"/>
    <x v="0"/>
    <x v="4"/>
    <x v="0"/>
  </r>
  <r>
    <x v="18"/>
    <x v="5"/>
    <x v="2"/>
    <x v="1"/>
    <x v="0"/>
    <x v="0"/>
    <x v="0"/>
  </r>
  <r>
    <x v="9"/>
    <x v="9"/>
    <x v="4"/>
    <x v="1"/>
    <x v="0"/>
    <x v="2"/>
    <x v="0"/>
  </r>
  <r>
    <x v="23"/>
    <x v="5"/>
    <x v="2"/>
    <x v="1"/>
    <x v="0"/>
    <x v="3"/>
    <x v="0"/>
  </r>
  <r>
    <x v="24"/>
    <x v="7"/>
    <x v="4"/>
    <x v="0"/>
    <x v="0"/>
    <x v="5"/>
    <x v="0"/>
  </r>
  <r>
    <x v="4"/>
    <x v="9"/>
    <x v="4"/>
    <x v="1"/>
    <x v="0"/>
    <x v="3"/>
    <x v="0"/>
  </r>
  <r>
    <x v="1"/>
    <x v="0"/>
    <x v="0"/>
    <x v="0"/>
    <x v="0"/>
    <x v="1"/>
    <x v="0"/>
  </r>
  <r>
    <x v="6"/>
    <x v="9"/>
    <x v="4"/>
    <x v="1"/>
    <x v="0"/>
    <x v="2"/>
    <x v="0"/>
  </r>
  <r>
    <x v="11"/>
    <x v="3"/>
    <x v="1"/>
    <x v="1"/>
    <x v="0"/>
    <x v="4"/>
    <x v="0"/>
  </r>
  <r>
    <x v="6"/>
    <x v="0"/>
    <x v="0"/>
    <x v="1"/>
    <x v="0"/>
    <x v="2"/>
    <x v="0"/>
  </r>
  <r>
    <x v="28"/>
    <x v="0"/>
    <x v="0"/>
    <x v="1"/>
    <x v="0"/>
    <x v="1"/>
    <x v="0"/>
  </r>
  <r>
    <x v="12"/>
    <x v="0"/>
    <x v="0"/>
    <x v="1"/>
    <x v="0"/>
    <x v="4"/>
    <x v="0"/>
  </r>
  <r>
    <x v="23"/>
    <x v="6"/>
    <x v="3"/>
    <x v="1"/>
    <x v="0"/>
    <x v="3"/>
    <x v="0"/>
  </r>
  <r>
    <x v="0"/>
    <x v="0"/>
    <x v="0"/>
    <x v="1"/>
    <x v="0"/>
    <x v="0"/>
    <x v="0"/>
  </r>
  <r>
    <x v="15"/>
    <x v="7"/>
    <x v="4"/>
    <x v="1"/>
    <x v="0"/>
    <x v="5"/>
    <x v="0"/>
  </r>
  <r>
    <x v="24"/>
    <x v="7"/>
    <x v="4"/>
    <x v="1"/>
    <x v="0"/>
    <x v="5"/>
    <x v="0"/>
  </r>
  <r>
    <x v="7"/>
    <x v="6"/>
    <x v="3"/>
    <x v="1"/>
    <x v="0"/>
    <x v="5"/>
    <x v="0"/>
  </r>
  <r>
    <x v="26"/>
    <x v="1"/>
    <x v="1"/>
    <x v="2"/>
    <x v="0"/>
    <x v="3"/>
    <x v="1"/>
  </r>
  <r>
    <x v="4"/>
    <x v="5"/>
    <x v="2"/>
    <x v="1"/>
    <x v="0"/>
    <x v="3"/>
    <x v="0"/>
  </r>
  <r>
    <x v="15"/>
    <x v="8"/>
    <x v="3"/>
    <x v="0"/>
    <x v="0"/>
    <x v="5"/>
    <x v="0"/>
  </r>
  <r>
    <x v="23"/>
    <x v="0"/>
    <x v="0"/>
    <x v="1"/>
    <x v="0"/>
    <x v="3"/>
    <x v="0"/>
  </r>
  <r>
    <x v="19"/>
    <x v="3"/>
    <x v="1"/>
    <x v="0"/>
    <x v="0"/>
    <x v="6"/>
    <x v="0"/>
  </r>
  <r>
    <x v="22"/>
    <x v="0"/>
    <x v="0"/>
    <x v="1"/>
    <x v="0"/>
    <x v="2"/>
    <x v="0"/>
  </r>
  <r>
    <x v="13"/>
    <x v="9"/>
    <x v="4"/>
    <x v="0"/>
    <x v="0"/>
    <x v="3"/>
    <x v="0"/>
  </r>
  <r>
    <x v="5"/>
    <x v="6"/>
    <x v="3"/>
    <x v="1"/>
    <x v="0"/>
    <x v="4"/>
    <x v="0"/>
  </r>
  <r>
    <x v="15"/>
    <x v="5"/>
    <x v="2"/>
    <x v="0"/>
    <x v="0"/>
    <x v="5"/>
    <x v="0"/>
  </r>
  <r>
    <x v="26"/>
    <x v="2"/>
    <x v="0"/>
    <x v="0"/>
    <x v="0"/>
    <x v="3"/>
    <x v="0"/>
  </r>
  <r>
    <x v="2"/>
    <x v="7"/>
    <x v="4"/>
    <x v="1"/>
    <x v="0"/>
    <x v="0"/>
    <x v="0"/>
  </r>
  <r>
    <x v="9"/>
    <x v="1"/>
    <x v="1"/>
    <x v="1"/>
    <x v="0"/>
    <x v="2"/>
    <x v="0"/>
  </r>
  <r>
    <x v="15"/>
    <x v="6"/>
    <x v="3"/>
    <x v="1"/>
    <x v="0"/>
    <x v="5"/>
    <x v="0"/>
  </r>
  <r>
    <x v="19"/>
    <x v="6"/>
    <x v="3"/>
    <x v="0"/>
    <x v="0"/>
    <x v="6"/>
    <x v="0"/>
  </r>
  <r>
    <x v="4"/>
    <x v="3"/>
    <x v="1"/>
    <x v="1"/>
    <x v="0"/>
    <x v="3"/>
    <x v="0"/>
  </r>
  <r>
    <x v="2"/>
    <x v="9"/>
    <x v="4"/>
    <x v="1"/>
    <x v="0"/>
    <x v="0"/>
    <x v="0"/>
  </r>
  <r>
    <x v="15"/>
    <x v="2"/>
    <x v="0"/>
    <x v="0"/>
    <x v="0"/>
    <x v="5"/>
    <x v="0"/>
  </r>
  <r>
    <x v="14"/>
    <x v="4"/>
    <x v="2"/>
    <x v="1"/>
    <x v="0"/>
    <x v="5"/>
    <x v="0"/>
  </r>
  <r>
    <x v="27"/>
    <x v="9"/>
    <x v="4"/>
    <x v="1"/>
    <x v="0"/>
    <x v="6"/>
    <x v="0"/>
  </r>
  <r>
    <x v="13"/>
    <x v="6"/>
    <x v="3"/>
    <x v="1"/>
    <x v="0"/>
    <x v="3"/>
    <x v="0"/>
  </r>
  <r>
    <x v="17"/>
    <x v="7"/>
    <x v="4"/>
    <x v="1"/>
    <x v="0"/>
    <x v="6"/>
    <x v="0"/>
  </r>
  <r>
    <x v="2"/>
    <x v="5"/>
    <x v="2"/>
    <x v="3"/>
    <x v="0"/>
    <x v="0"/>
    <x v="1"/>
  </r>
  <r>
    <x v="2"/>
    <x v="1"/>
    <x v="1"/>
    <x v="1"/>
    <x v="0"/>
    <x v="0"/>
    <x v="0"/>
  </r>
  <r>
    <x v="1"/>
    <x v="6"/>
    <x v="3"/>
    <x v="1"/>
    <x v="0"/>
    <x v="1"/>
    <x v="0"/>
  </r>
  <r>
    <x v="11"/>
    <x v="7"/>
    <x v="4"/>
    <x v="1"/>
    <x v="0"/>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6E79EA-33A3-4DB3-AC15-86799A7CB2C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34" firstHeaderRow="1" firstDataRow="1" firstDataCol="1" rowPageCount="1" colPageCount="1"/>
  <pivotFields count="7">
    <pivotField axis="axisRow" showAll="0" sortType="descending">
      <items count="32">
        <item x="20"/>
        <item x="22"/>
        <item x="19"/>
        <item x="29"/>
        <item x="4"/>
        <item x="15"/>
        <item x="0"/>
        <item x="1"/>
        <item x="9"/>
        <item x="25"/>
        <item x="5"/>
        <item x="23"/>
        <item x="24"/>
        <item x="18"/>
        <item x="21"/>
        <item x="3"/>
        <item x="27"/>
        <item x="12"/>
        <item x="13"/>
        <item x="7"/>
        <item x="2"/>
        <item x="30"/>
        <item x="10"/>
        <item x="8"/>
        <item x="11"/>
        <item x="26"/>
        <item x="14"/>
        <item x="16"/>
        <item x="28"/>
        <item x="6"/>
        <item x="17"/>
        <item t="default"/>
      </items>
      <autoSortScope>
        <pivotArea dataOnly="0" outline="0" fieldPosition="0">
          <references count="1">
            <reference field="4294967294" count="1" selected="0">
              <x v="0"/>
            </reference>
          </references>
        </pivotArea>
      </autoSortScope>
    </pivotField>
    <pivotField showAll="0"/>
    <pivotField showAll="0">
      <items count="6">
        <item x="2"/>
        <item x="3"/>
        <item x="0"/>
        <item x="1"/>
        <item x="4"/>
        <item t="default"/>
      </items>
    </pivotField>
    <pivotField axis="axisPage" dataField="1" multipleItemSelectionAllowed="1" showAll="0">
      <items count="5">
        <item h="1" x="3"/>
        <item x="0"/>
        <item h="1" x="2"/>
        <item h="1" x="1"/>
        <item t="default"/>
      </items>
    </pivotField>
    <pivotField showAll="0">
      <items count="2">
        <item x="0"/>
        <item t="default"/>
      </items>
    </pivotField>
    <pivotField showAll="0"/>
    <pivotField showAll="0"/>
  </pivotFields>
  <rowFields count="1">
    <field x="0"/>
  </rowFields>
  <rowItems count="31">
    <i>
      <x v="5"/>
    </i>
    <i>
      <x v="2"/>
    </i>
    <i>
      <x v="11"/>
    </i>
    <i>
      <x v="27"/>
    </i>
    <i>
      <x v="24"/>
    </i>
    <i>
      <x v="19"/>
    </i>
    <i>
      <x v="16"/>
    </i>
    <i>
      <x v="6"/>
    </i>
    <i>
      <x v="9"/>
    </i>
    <i>
      <x v="26"/>
    </i>
    <i>
      <x v="18"/>
    </i>
    <i>
      <x v="8"/>
    </i>
    <i>
      <x v="10"/>
    </i>
    <i>
      <x v="17"/>
    </i>
    <i>
      <x v="3"/>
    </i>
    <i>
      <x v="22"/>
    </i>
    <i>
      <x v="20"/>
    </i>
    <i>
      <x/>
    </i>
    <i>
      <x v="23"/>
    </i>
    <i>
      <x v="15"/>
    </i>
    <i>
      <x v="4"/>
    </i>
    <i>
      <x v="12"/>
    </i>
    <i>
      <x v="13"/>
    </i>
    <i>
      <x v="14"/>
    </i>
    <i>
      <x v="1"/>
    </i>
    <i>
      <x v="29"/>
    </i>
    <i>
      <x v="28"/>
    </i>
    <i>
      <x v="25"/>
    </i>
    <i>
      <x v="21"/>
    </i>
    <i>
      <x v="7"/>
    </i>
    <i t="grand">
      <x/>
    </i>
  </rowItems>
  <colItems count="1">
    <i/>
  </colItems>
  <pageFields count="1">
    <pageField fld="3" hier="-1"/>
  </pageFields>
  <dataFields count="1">
    <dataField name="Count of Status" fld="3" subtotal="count" baseField="0" baseItem="0"/>
  </dataFields>
  <formats count="30">
    <format dxfId="209">
      <pivotArea type="all" dataOnly="0" outline="0" fieldPosition="0"/>
    </format>
    <format dxfId="208">
      <pivotArea outline="0" collapsedLevelsAreSubtotals="1" fieldPosition="0"/>
    </format>
    <format dxfId="207">
      <pivotArea field="0" type="button" dataOnly="0" labelOnly="1" outline="0" axis="axisRow" fieldPosition="0"/>
    </format>
    <format dxfId="206">
      <pivotArea dataOnly="0" labelOnly="1" fieldPosition="0">
        <references count="1">
          <reference field="0" count="0"/>
        </references>
      </pivotArea>
    </format>
    <format dxfId="205">
      <pivotArea dataOnly="0" labelOnly="1" grandRow="1" outline="0" fieldPosition="0"/>
    </format>
    <format dxfId="204">
      <pivotArea dataOnly="0" labelOnly="1" outline="0" axis="axisValues" fieldPosition="0"/>
    </format>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fieldPosition="0">
        <references count="1">
          <reference field="0" count="30">
            <x v="0"/>
            <x v="1"/>
            <x v="2"/>
            <x v="3"/>
            <x v="4"/>
            <x v="5"/>
            <x v="6"/>
            <x v="7"/>
            <x v="8"/>
            <x v="9"/>
            <x v="10"/>
            <x v="11"/>
            <x v="12"/>
            <x v="13"/>
            <x v="14"/>
            <x v="15"/>
            <x v="16"/>
            <x v="17"/>
            <x v="18"/>
            <x v="19"/>
            <x v="20"/>
            <x v="21"/>
            <x v="22"/>
            <x v="23"/>
            <x v="24"/>
            <x v="25"/>
            <x v="26"/>
            <x v="27"/>
            <x v="28"/>
            <x v="29"/>
          </reference>
        </references>
      </pivotArea>
    </format>
    <format dxfId="23">
      <pivotArea dataOnly="0" labelOnly="1" grandRow="1" outline="0" fieldPosition="0"/>
    </format>
    <format dxfId="22">
      <pivotArea dataOnly="0" labelOnly="1" outline="0" axis="axisValues" fieldPosition="0"/>
    </format>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fieldPosition="0">
        <references count="1">
          <reference field="0" count="30">
            <x v="0"/>
            <x v="1"/>
            <x v="2"/>
            <x v="3"/>
            <x v="4"/>
            <x v="5"/>
            <x v="6"/>
            <x v="7"/>
            <x v="8"/>
            <x v="9"/>
            <x v="10"/>
            <x v="11"/>
            <x v="12"/>
            <x v="13"/>
            <x v="14"/>
            <x v="15"/>
            <x v="16"/>
            <x v="17"/>
            <x v="18"/>
            <x v="19"/>
            <x v="20"/>
            <x v="21"/>
            <x v="22"/>
            <x v="23"/>
            <x v="24"/>
            <x v="25"/>
            <x v="26"/>
            <x v="27"/>
            <x v="28"/>
            <x v="29"/>
          </reference>
        </references>
      </pivotArea>
    </format>
    <format dxfId="16">
      <pivotArea dataOnly="0" labelOnly="1" grandRow="1" outline="0" fieldPosition="0"/>
    </format>
    <format dxfId="15">
      <pivotArea dataOnly="0" labelOnly="1" outline="0" axis="axisValues" fieldPosition="0"/>
    </format>
    <format dxfId="13">
      <pivotArea type="all" dataOnly="0" outline="0" fieldPosition="0"/>
    </format>
    <format dxfId="12">
      <pivotArea outline="0" collapsedLevelsAreSubtotals="1" fieldPosition="0"/>
    </format>
    <format dxfId="11">
      <pivotArea field="0" type="button" dataOnly="0" labelOnly="1" outline="0" axis="axisRow" fieldPosition="0"/>
    </format>
    <format dxfId="10">
      <pivotArea dataOnly="0" labelOnly="1" fieldPosition="0">
        <references count="1">
          <reference field="0" count="30">
            <x v="0"/>
            <x v="1"/>
            <x v="2"/>
            <x v="3"/>
            <x v="4"/>
            <x v="5"/>
            <x v="6"/>
            <x v="7"/>
            <x v="8"/>
            <x v="9"/>
            <x v="10"/>
            <x v="11"/>
            <x v="12"/>
            <x v="13"/>
            <x v="14"/>
            <x v="15"/>
            <x v="16"/>
            <x v="17"/>
            <x v="18"/>
            <x v="19"/>
            <x v="20"/>
            <x v="21"/>
            <x v="22"/>
            <x v="23"/>
            <x v="24"/>
            <x v="25"/>
            <x v="26"/>
            <x v="27"/>
            <x v="28"/>
            <x v="29"/>
          </reference>
        </references>
      </pivotArea>
    </format>
    <format dxfId="9">
      <pivotArea dataOnly="0" labelOnly="1" grandRow="1" outline="0" fieldPosition="0"/>
    </format>
    <format dxfId="8">
      <pivotArea dataOnly="0" labelOnly="1" outline="0" axis="axisValues" fieldPosition="0"/>
    </format>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fieldPosition="0">
        <references count="1">
          <reference field="0" count="30">
            <x v="0"/>
            <x v="1"/>
            <x v="2"/>
            <x v="3"/>
            <x v="4"/>
            <x v="5"/>
            <x v="6"/>
            <x v="7"/>
            <x v="8"/>
            <x v="9"/>
            <x v="10"/>
            <x v="11"/>
            <x v="12"/>
            <x v="13"/>
            <x v="14"/>
            <x v="15"/>
            <x v="16"/>
            <x v="17"/>
            <x v="18"/>
            <x v="19"/>
            <x v="20"/>
            <x v="21"/>
            <x v="22"/>
            <x v="23"/>
            <x v="24"/>
            <x v="25"/>
            <x v="26"/>
            <x v="27"/>
            <x v="28"/>
            <x v="29"/>
          </reference>
        </references>
      </pivotArea>
    </format>
    <format dxfId="2">
      <pivotArea dataOnly="0" labelOnly="1" grandRow="1" outline="0" fieldPosition="0"/>
    </format>
    <format dxfId="1">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BC75D1-04FE-41EA-BA17-D65C6D7229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C34" firstHeaderRow="1" firstDataRow="2" firstDataCol="1"/>
  <pivotFields count="7">
    <pivotField axis="axisRow" showAll="0">
      <items count="32">
        <item x="20"/>
        <item x="22"/>
        <item x="19"/>
        <item x="29"/>
        <item x="4"/>
        <item x="15"/>
        <item x="0"/>
        <item x="1"/>
        <item x="9"/>
        <item x="25"/>
        <item x="5"/>
        <item x="23"/>
        <item x="24"/>
        <item x="18"/>
        <item x="21"/>
        <item x="3"/>
        <item x="27"/>
        <item x="12"/>
        <item x="13"/>
        <item x="7"/>
        <item x="2"/>
        <item x="30"/>
        <item x="10"/>
        <item x="8"/>
        <item x="11"/>
        <item x="26"/>
        <item x="14"/>
        <item x="16"/>
        <item x="28"/>
        <item x="6"/>
        <item x="17"/>
        <item t="default"/>
      </items>
    </pivotField>
    <pivotField showAll="0"/>
    <pivotField showAll="0">
      <items count="6">
        <item x="2"/>
        <item x="3"/>
        <item x="0"/>
        <item x="1"/>
        <item x="4"/>
        <item t="default"/>
      </items>
    </pivotField>
    <pivotField axis="axisCol" dataField="1" showAll="0">
      <items count="5">
        <item h="1" x="3"/>
        <item x="0"/>
        <item h="1" x="2"/>
        <item h="1" x="1"/>
        <item t="default"/>
      </items>
    </pivotField>
    <pivotField showAll="0"/>
    <pivotField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3"/>
  </colFields>
  <colItems count="2">
    <i>
      <x v="1"/>
    </i>
    <i t="grand">
      <x/>
    </i>
  </colItems>
  <dataFields count="1">
    <dataField name="Count of Status" fld="3" subtotal="count" baseField="0" baseItem="0"/>
  </dataFields>
  <formats count="50">
    <format dxfId="203">
      <pivotArea type="all" dataOnly="0" outline="0" fieldPosition="0"/>
    </format>
    <format dxfId="202">
      <pivotArea outline="0" collapsedLevelsAreSubtotals="1" fieldPosition="0"/>
    </format>
    <format dxfId="201">
      <pivotArea type="origin" dataOnly="0" labelOnly="1" outline="0" fieldPosition="0"/>
    </format>
    <format dxfId="200">
      <pivotArea field="3" type="button" dataOnly="0" labelOnly="1" outline="0" axis="axisCol" fieldPosition="0"/>
    </format>
    <format dxfId="199">
      <pivotArea type="topRight" dataOnly="0" labelOnly="1" outline="0" fieldPosition="0"/>
    </format>
    <format dxfId="198">
      <pivotArea field="0" type="button" dataOnly="0" labelOnly="1" outline="0" axis="axisRow" fieldPosition="0"/>
    </format>
    <format dxfId="197">
      <pivotArea dataOnly="0" labelOnly="1" fieldPosition="0">
        <references count="1">
          <reference field="0" count="0"/>
        </references>
      </pivotArea>
    </format>
    <format dxfId="196">
      <pivotArea dataOnly="0" labelOnly="1" grandRow="1" outline="0" fieldPosition="0"/>
    </format>
    <format dxfId="195">
      <pivotArea dataOnly="0" labelOnly="1" fieldPosition="0">
        <references count="1">
          <reference field="3" count="0"/>
        </references>
      </pivotArea>
    </format>
    <format dxfId="194">
      <pivotArea dataOnly="0" labelOnly="1" grandCol="1" outline="0" fieldPosition="0"/>
    </format>
    <format dxfId="193">
      <pivotArea type="all" dataOnly="0" outline="0" fieldPosition="0"/>
    </format>
    <format dxfId="192">
      <pivotArea outline="0" collapsedLevelsAreSubtotals="1" fieldPosition="0"/>
    </format>
    <format dxfId="191">
      <pivotArea type="origin" dataOnly="0" labelOnly="1" outline="0" fieldPosition="0"/>
    </format>
    <format dxfId="190">
      <pivotArea field="3" type="button" dataOnly="0" labelOnly="1" outline="0" axis="axisCol" fieldPosition="0"/>
    </format>
    <format dxfId="189">
      <pivotArea type="topRight" dataOnly="0" labelOnly="1" outline="0" fieldPosition="0"/>
    </format>
    <format dxfId="188">
      <pivotArea field="0" type="button" dataOnly="0" labelOnly="1" outline="0" axis="axisRow" fieldPosition="0"/>
    </format>
    <format dxfId="187">
      <pivotArea dataOnly="0" labelOnly="1" fieldPosition="0">
        <references count="1">
          <reference field="0" count="0"/>
        </references>
      </pivotArea>
    </format>
    <format dxfId="186">
      <pivotArea dataOnly="0" labelOnly="1" grandRow="1" outline="0" fieldPosition="0"/>
    </format>
    <format dxfId="185">
      <pivotArea dataOnly="0" labelOnly="1" fieldPosition="0">
        <references count="1">
          <reference field="3" count="0"/>
        </references>
      </pivotArea>
    </format>
    <format dxfId="184">
      <pivotArea dataOnly="0" labelOnly="1" grandCol="1" outline="0" fieldPosition="0"/>
    </format>
    <format dxfId="183">
      <pivotArea type="all" dataOnly="0" outline="0" fieldPosition="0"/>
    </format>
    <format dxfId="182">
      <pivotArea outline="0" collapsedLevelsAreSubtotals="1" fieldPosition="0"/>
    </format>
    <format dxfId="181">
      <pivotArea type="origin" dataOnly="0" labelOnly="1" outline="0" fieldPosition="0"/>
    </format>
    <format dxfId="180">
      <pivotArea field="3" type="button" dataOnly="0" labelOnly="1" outline="0" axis="axisCol" fieldPosition="0"/>
    </format>
    <format dxfId="179">
      <pivotArea type="topRight" dataOnly="0" labelOnly="1" outline="0" fieldPosition="0"/>
    </format>
    <format dxfId="178">
      <pivotArea field="0" type="button" dataOnly="0" labelOnly="1" outline="0" axis="axisRow" fieldPosition="0"/>
    </format>
    <format dxfId="177">
      <pivotArea dataOnly="0" labelOnly="1" fieldPosition="0">
        <references count="1">
          <reference field="0" count="0"/>
        </references>
      </pivotArea>
    </format>
    <format dxfId="176">
      <pivotArea dataOnly="0" labelOnly="1" grandRow="1" outline="0" fieldPosition="0"/>
    </format>
    <format dxfId="175">
      <pivotArea dataOnly="0" labelOnly="1" fieldPosition="0">
        <references count="1">
          <reference field="3" count="0"/>
        </references>
      </pivotArea>
    </format>
    <format dxfId="174">
      <pivotArea dataOnly="0" labelOnly="1" grandCol="1" outline="0" fieldPosition="0"/>
    </format>
    <format dxfId="173">
      <pivotArea type="all" dataOnly="0" outline="0" fieldPosition="0"/>
    </format>
    <format dxfId="172">
      <pivotArea outline="0" collapsedLevelsAreSubtotals="1" fieldPosition="0"/>
    </format>
    <format dxfId="171">
      <pivotArea type="origin" dataOnly="0" labelOnly="1" outline="0" fieldPosition="0"/>
    </format>
    <format dxfId="170">
      <pivotArea field="3" type="button" dataOnly="0" labelOnly="1" outline="0" axis="axisCol" fieldPosition="0"/>
    </format>
    <format dxfId="169">
      <pivotArea type="topRight" dataOnly="0" labelOnly="1" outline="0" fieldPosition="0"/>
    </format>
    <format dxfId="168">
      <pivotArea field="0" type="button" dataOnly="0" labelOnly="1" outline="0" axis="axisRow" fieldPosition="0"/>
    </format>
    <format dxfId="167">
      <pivotArea dataOnly="0" labelOnly="1" fieldPosition="0">
        <references count="1">
          <reference field="0" count="0"/>
        </references>
      </pivotArea>
    </format>
    <format dxfId="166">
      <pivotArea dataOnly="0" labelOnly="1" grandRow="1" outline="0" fieldPosition="0"/>
    </format>
    <format dxfId="165">
      <pivotArea dataOnly="0" labelOnly="1" fieldPosition="0">
        <references count="1">
          <reference field="3" count="0"/>
        </references>
      </pivotArea>
    </format>
    <format dxfId="164">
      <pivotArea dataOnly="0" labelOnly="1" grandCol="1" outline="0" fieldPosition="0"/>
    </format>
    <format dxfId="163">
      <pivotArea type="all" dataOnly="0" outline="0" fieldPosition="0"/>
    </format>
    <format dxfId="162">
      <pivotArea outline="0" collapsedLevelsAreSubtotals="1" fieldPosition="0"/>
    </format>
    <format dxfId="161">
      <pivotArea type="origin" dataOnly="0" labelOnly="1" outline="0" fieldPosition="0"/>
    </format>
    <format dxfId="160">
      <pivotArea field="3" type="button" dataOnly="0" labelOnly="1" outline="0" axis="axisCol" fieldPosition="0"/>
    </format>
    <format dxfId="159">
      <pivotArea type="topRight" dataOnly="0" labelOnly="1" outline="0" fieldPosition="0"/>
    </format>
    <format dxfId="158">
      <pivotArea field="0" type="button" dataOnly="0" labelOnly="1" outline="0" axis="axisRow" fieldPosition="0"/>
    </format>
    <format dxfId="157">
      <pivotArea dataOnly="0" labelOnly="1" fieldPosition="0">
        <references count="1">
          <reference field="0" count="0"/>
        </references>
      </pivotArea>
    </format>
    <format dxfId="156">
      <pivotArea dataOnly="0" labelOnly="1" grandRow="1" outline="0" fieldPosition="0"/>
    </format>
    <format dxfId="155">
      <pivotArea dataOnly="0" labelOnly="1" fieldPosition="0">
        <references count="1">
          <reference field="3" count="0"/>
        </references>
      </pivotArea>
    </format>
    <format dxfId="154">
      <pivotArea dataOnly="0" labelOnly="1" grandCol="1" outline="0" fieldPosition="0"/>
    </format>
  </formats>
  <chartFormats count="12">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6" format="0" series="1">
      <pivotArea type="data" outline="0" fieldPosition="0">
        <references count="2">
          <reference field="4294967294" count="1" selected="0">
            <x v="0"/>
          </reference>
          <reference field="3" count="1" selected="0">
            <x v="0"/>
          </reference>
        </references>
      </pivotArea>
    </chartFormat>
    <chartFormat chart="6" format="1" series="1">
      <pivotArea type="data" outline="0" fieldPosition="0">
        <references count="2">
          <reference field="4294967294" count="1" selected="0">
            <x v="0"/>
          </reference>
          <reference field="3" count="1" selected="0">
            <x v="1"/>
          </reference>
        </references>
      </pivotArea>
    </chartFormat>
    <chartFormat chart="6" format="2" series="1">
      <pivotArea type="data" outline="0" fieldPosition="0">
        <references count="2">
          <reference field="4294967294" count="1" selected="0">
            <x v="0"/>
          </reference>
          <reference field="3" count="1" selected="0">
            <x v="2"/>
          </reference>
        </references>
      </pivotArea>
    </chartFormat>
    <chartFormat chart="6" format="3" series="1">
      <pivotArea type="data" outline="0" fieldPosition="0">
        <references count="2">
          <reference field="4294967294" count="1" selected="0">
            <x v="0"/>
          </reference>
          <reference field="3" count="1" selected="0">
            <x v="3"/>
          </reference>
        </references>
      </pivotArea>
    </chartFormat>
    <chartFormat chart="10" format="8" series="1">
      <pivotArea type="data" outline="0" fieldPosition="0">
        <references count="2">
          <reference field="4294967294" count="1" selected="0">
            <x v="0"/>
          </reference>
          <reference field="3" count="1" selected="0">
            <x v="0"/>
          </reference>
        </references>
      </pivotArea>
    </chartFormat>
    <chartFormat chart="10" format="9" series="1">
      <pivotArea type="data" outline="0" fieldPosition="0">
        <references count="2">
          <reference field="4294967294" count="1" selected="0">
            <x v="0"/>
          </reference>
          <reference field="3" count="1" selected="0">
            <x v="1"/>
          </reference>
        </references>
      </pivotArea>
    </chartFormat>
    <chartFormat chart="10" format="10" series="1">
      <pivotArea type="data" outline="0" fieldPosition="0">
        <references count="2">
          <reference field="4294967294" count="1" selected="0">
            <x v="0"/>
          </reference>
          <reference field="3" count="1" selected="0">
            <x v="2"/>
          </reference>
        </references>
      </pivotArea>
    </chartFormat>
    <chartFormat chart="10" format="11" series="1">
      <pivotArea type="data" outline="0" fieldPosition="0">
        <references count="2">
          <reference field="4294967294" count="1" selected="0">
            <x v="0"/>
          </reference>
          <reference field="3" count="1" selected="0">
            <x v="3"/>
          </reference>
        </references>
      </pivotArea>
    </chartFormat>
  </chartFormats>
  <pivotTableStyleInfo name="PivotStyleMedium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7AFF6E-25BB-4DAB-BB8E-509B14055E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B15" firstHeaderRow="1" firstDataRow="1" firstDataCol="1" rowPageCount="1" colPageCount="1"/>
  <pivotFields count="7">
    <pivotField showAll="0" insertBlankRow="1">
      <items count="32">
        <item x="20"/>
        <item x="22"/>
        <item x="19"/>
        <item x="29"/>
        <item x="4"/>
        <item x="15"/>
        <item x="0"/>
        <item x="1"/>
        <item x="9"/>
        <item x="25"/>
        <item x="5"/>
        <item x="23"/>
        <item x="24"/>
        <item x="18"/>
        <item x="21"/>
        <item x="3"/>
        <item x="27"/>
        <item x="12"/>
        <item x="13"/>
        <item x="7"/>
        <item x="2"/>
        <item x="30"/>
        <item x="10"/>
        <item x="8"/>
        <item x="11"/>
        <item x="26"/>
        <item x="14"/>
        <item x="16"/>
        <item x="28"/>
        <item x="6"/>
        <item x="17"/>
        <item t="default"/>
      </items>
    </pivotField>
    <pivotField axis="axisRow" showAll="0" insertBlankRow="1" sortType="descending">
      <items count="11">
        <item x="4"/>
        <item x="9"/>
        <item x="8"/>
        <item x="0"/>
        <item x="5"/>
        <item x="1"/>
        <item x="6"/>
        <item x="7"/>
        <item x="2"/>
        <item x="3"/>
        <item t="default"/>
      </items>
      <autoSortScope>
        <pivotArea dataOnly="0" outline="0" fieldPosition="0">
          <references count="1">
            <reference field="4294967294" count="1" selected="0">
              <x v="0"/>
            </reference>
          </references>
        </pivotArea>
      </autoSortScope>
    </pivotField>
    <pivotField showAll="0" insertBlankRow="1">
      <items count="6">
        <item x="2"/>
        <item x="3"/>
        <item x="0"/>
        <item x="1"/>
        <item x="4"/>
        <item t="default"/>
      </items>
    </pivotField>
    <pivotField axis="axisPage" dataField="1" multipleItemSelectionAllowed="1" showAll="0" insertBlankRow="1" countASubtotal="1">
      <items count="5">
        <item h="1" x="3"/>
        <item x="0"/>
        <item h="1" x="2"/>
        <item h="1" x="1"/>
        <item t="countA"/>
      </items>
    </pivotField>
    <pivotField showAll="0" insertBlankRow="1"/>
    <pivotField showAll="0" insertBlankRow="1"/>
    <pivotField showAll="0" insertBlankRow="1"/>
  </pivotFields>
  <rowFields count="1">
    <field x="1"/>
  </rowFields>
  <rowItems count="11">
    <i>
      <x v="2"/>
    </i>
    <i>
      <x v="6"/>
    </i>
    <i>
      <x v="8"/>
    </i>
    <i>
      <x v="7"/>
    </i>
    <i>
      <x v="9"/>
    </i>
    <i>
      <x v="5"/>
    </i>
    <i>
      <x v="4"/>
    </i>
    <i>
      <x/>
    </i>
    <i>
      <x v="3"/>
    </i>
    <i>
      <x v="1"/>
    </i>
    <i t="grand">
      <x/>
    </i>
  </rowItems>
  <colItems count="1">
    <i/>
  </colItems>
  <pageFields count="1">
    <pageField fld="3" hier="-1"/>
  </pageFields>
  <dataFields count="1">
    <dataField name="Count of Status" fld="3" subtotal="count" baseField="0" baseItem="0"/>
  </dataFields>
  <formats count="30">
    <format dxfId="153">
      <pivotArea type="all" dataOnly="0" outline="0" fieldPosition="0"/>
    </format>
    <format dxfId="152">
      <pivotArea outline="0" collapsedLevelsAreSubtotals="1" fieldPosition="0"/>
    </format>
    <format dxfId="151">
      <pivotArea field="1" type="button" dataOnly="0" labelOnly="1" outline="0" axis="axisRow" fieldPosition="0"/>
    </format>
    <format dxfId="150">
      <pivotArea dataOnly="0" labelOnly="1" fieldPosition="0">
        <references count="1">
          <reference field="1" count="0"/>
        </references>
      </pivotArea>
    </format>
    <format dxfId="149">
      <pivotArea dataOnly="0" labelOnly="1" grandRow="1" outline="0"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field="1" type="button" dataOnly="0" labelOnly="1" outline="0" axis="axisRow" fieldPosition="0"/>
    </format>
    <format dxfId="144">
      <pivotArea dataOnly="0" labelOnly="1" fieldPosition="0">
        <references count="1">
          <reference field="1" count="0"/>
        </references>
      </pivotArea>
    </format>
    <format dxfId="143">
      <pivotArea dataOnly="0" labelOnly="1" grandRow="1" outline="0" fieldPosition="0"/>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field="1" type="button" dataOnly="0" labelOnly="1" outline="0" axis="axisRow" fieldPosition="0"/>
    </format>
    <format dxfId="138">
      <pivotArea dataOnly="0" labelOnly="1" fieldPosition="0">
        <references count="1">
          <reference field="1" count="0"/>
        </references>
      </pivotArea>
    </format>
    <format dxfId="137">
      <pivotArea dataOnly="0" labelOnly="1" grandRow="1" outline="0"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field="1" type="button" dataOnly="0" labelOnly="1" outline="0" axis="axisRow" fieldPosition="0"/>
    </format>
    <format dxfId="132">
      <pivotArea dataOnly="0" labelOnly="1" fieldPosition="0">
        <references count="1">
          <reference field="1" count="0"/>
        </references>
      </pivotArea>
    </format>
    <format dxfId="131">
      <pivotArea dataOnly="0" labelOnly="1" grandRow="1" outline="0" fieldPosition="0"/>
    </format>
    <format dxfId="130">
      <pivotArea dataOnly="0" labelOnly="1" outline="0" axis="axisValues" fieldPosition="0"/>
    </format>
    <format dxfId="129">
      <pivotArea type="all" dataOnly="0" outline="0" fieldPosition="0"/>
    </format>
    <format dxfId="128">
      <pivotArea outline="0" collapsedLevelsAreSubtotals="1" fieldPosition="0"/>
    </format>
    <format dxfId="127">
      <pivotArea field="1" type="button" dataOnly="0" labelOnly="1" outline="0" axis="axisRow" fieldPosition="0"/>
    </format>
    <format dxfId="126">
      <pivotArea dataOnly="0" labelOnly="1" fieldPosition="0">
        <references count="1">
          <reference field="1" count="0"/>
        </references>
      </pivotArea>
    </format>
    <format dxfId="125">
      <pivotArea dataOnly="0" labelOnly="1" grandRow="1" outline="0" fieldPosition="0"/>
    </format>
    <format dxfId="124">
      <pivotArea dataOnly="0" labelOnly="1" outline="0" axis="axisValues" fieldPosition="0"/>
    </format>
  </formats>
  <chartFormats count="3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9"/>
          </reference>
        </references>
      </pivotArea>
    </chartFormat>
    <chartFormat chart="2" format="2">
      <pivotArea type="data" outline="0" fieldPosition="0">
        <references count="2">
          <reference field="4294967294" count="1" selected="0">
            <x v="0"/>
          </reference>
          <reference field="1" count="1" selected="0">
            <x v="8"/>
          </reference>
        </references>
      </pivotArea>
    </chartFormat>
    <chartFormat chart="2" format="3">
      <pivotArea type="data" outline="0" fieldPosition="0">
        <references count="2">
          <reference field="4294967294" count="1" selected="0">
            <x v="0"/>
          </reference>
          <reference field="1" count="1" selected="0">
            <x v="6"/>
          </reference>
        </references>
      </pivotArea>
    </chartFormat>
    <chartFormat chart="2" format="4">
      <pivotArea type="data" outline="0" fieldPosition="0">
        <references count="2">
          <reference field="4294967294" count="1" selected="0">
            <x v="0"/>
          </reference>
          <reference field="1" count="1" selected="0">
            <x v="4"/>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5"/>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7"/>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1" count="1" selected="0">
            <x v="9"/>
          </reference>
        </references>
      </pivotArea>
    </chartFormat>
    <chartFormat chart="5" format="13">
      <pivotArea type="data" outline="0" fieldPosition="0">
        <references count="2">
          <reference field="4294967294" count="1" selected="0">
            <x v="0"/>
          </reference>
          <reference field="1" count="1" selected="0">
            <x v="8"/>
          </reference>
        </references>
      </pivotArea>
    </chartFormat>
    <chartFormat chart="5" format="14">
      <pivotArea type="data" outline="0" fieldPosition="0">
        <references count="2">
          <reference field="4294967294" count="1" selected="0">
            <x v="0"/>
          </reference>
          <reference field="1" count="1" selected="0">
            <x v="6"/>
          </reference>
        </references>
      </pivotArea>
    </chartFormat>
    <chartFormat chart="5" format="15">
      <pivotArea type="data" outline="0" fieldPosition="0">
        <references count="2">
          <reference field="4294967294" count="1" selected="0">
            <x v="0"/>
          </reference>
          <reference field="1" count="1" selected="0">
            <x v="4"/>
          </reference>
        </references>
      </pivotArea>
    </chartFormat>
    <chartFormat chart="5" format="16">
      <pivotArea type="data" outline="0" fieldPosition="0">
        <references count="2">
          <reference field="4294967294" count="1" selected="0">
            <x v="0"/>
          </reference>
          <reference field="1" count="1" selected="0">
            <x v="2"/>
          </reference>
        </references>
      </pivotArea>
    </chartFormat>
    <chartFormat chart="5" format="17">
      <pivotArea type="data" outline="0" fieldPosition="0">
        <references count="2">
          <reference field="4294967294" count="1" selected="0">
            <x v="0"/>
          </reference>
          <reference field="1" count="1" selected="0">
            <x v="5"/>
          </reference>
        </references>
      </pivotArea>
    </chartFormat>
    <chartFormat chart="5" format="18">
      <pivotArea type="data" outline="0" fieldPosition="0">
        <references count="2">
          <reference field="4294967294" count="1" selected="0">
            <x v="0"/>
          </reference>
          <reference field="1" count="1" selected="0">
            <x v="0"/>
          </reference>
        </references>
      </pivotArea>
    </chartFormat>
    <chartFormat chart="5" format="19">
      <pivotArea type="data" outline="0" fieldPosition="0">
        <references count="2">
          <reference field="4294967294" count="1" selected="0">
            <x v="0"/>
          </reference>
          <reference field="1" count="1" selected="0">
            <x v="1"/>
          </reference>
        </references>
      </pivotArea>
    </chartFormat>
    <chartFormat chart="5" format="20">
      <pivotArea type="data" outline="0" fieldPosition="0">
        <references count="2">
          <reference field="4294967294" count="1" selected="0">
            <x v="0"/>
          </reference>
          <reference field="1" count="1" selected="0">
            <x v="7"/>
          </reference>
        </references>
      </pivotArea>
    </chartFormat>
    <chartFormat chart="5" format="21">
      <pivotArea type="data" outline="0" fieldPosition="0">
        <references count="2">
          <reference field="4294967294" count="1" selected="0">
            <x v="0"/>
          </reference>
          <reference field="1" count="1" selected="0">
            <x v="3"/>
          </reference>
        </references>
      </pivotArea>
    </chartFormat>
    <chartFormat chart="9" format="22" series="1">
      <pivotArea type="data" outline="0" fieldPosition="0">
        <references count="1">
          <reference field="4294967294" count="1" selected="0">
            <x v="0"/>
          </reference>
        </references>
      </pivotArea>
    </chartFormat>
    <chartFormat chart="9" format="23">
      <pivotArea type="data" outline="0" fieldPosition="0">
        <references count="2">
          <reference field="4294967294" count="1" selected="0">
            <x v="0"/>
          </reference>
          <reference field="1" count="1" selected="0">
            <x v="9"/>
          </reference>
        </references>
      </pivotArea>
    </chartFormat>
    <chartFormat chart="9" format="24">
      <pivotArea type="data" outline="0" fieldPosition="0">
        <references count="2">
          <reference field="4294967294" count="1" selected="0">
            <x v="0"/>
          </reference>
          <reference field="1" count="1" selected="0">
            <x v="8"/>
          </reference>
        </references>
      </pivotArea>
    </chartFormat>
    <chartFormat chart="9" format="25">
      <pivotArea type="data" outline="0" fieldPosition="0">
        <references count="2">
          <reference field="4294967294" count="1" selected="0">
            <x v="0"/>
          </reference>
          <reference field="1" count="1" selected="0">
            <x v="6"/>
          </reference>
        </references>
      </pivotArea>
    </chartFormat>
    <chartFormat chart="9" format="26">
      <pivotArea type="data" outline="0" fieldPosition="0">
        <references count="2">
          <reference field="4294967294" count="1" selected="0">
            <x v="0"/>
          </reference>
          <reference field="1" count="1" selected="0">
            <x v="4"/>
          </reference>
        </references>
      </pivotArea>
    </chartFormat>
    <chartFormat chart="9" format="27">
      <pivotArea type="data" outline="0" fieldPosition="0">
        <references count="2">
          <reference field="4294967294" count="1" selected="0">
            <x v="0"/>
          </reference>
          <reference field="1" count="1" selected="0">
            <x v="2"/>
          </reference>
        </references>
      </pivotArea>
    </chartFormat>
    <chartFormat chart="9" format="28">
      <pivotArea type="data" outline="0" fieldPosition="0">
        <references count="2">
          <reference field="4294967294" count="1" selected="0">
            <x v="0"/>
          </reference>
          <reference field="1" count="1" selected="0">
            <x v="5"/>
          </reference>
        </references>
      </pivotArea>
    </chartFormat>
    <chartFormat chart="9" format="29">
      <pivotArea type="data" outline="0" fieldPosition="0">
        <references count="2">
          <reference field="4294967294" count="1" selected="0">
            <x v="0"/>
          </reference>
          <reference field="1" count="1" selected="0">
            <x v="0"/>
          </reference>
        </references>
      </pivotArea>
    </chartFormat>
    <chartFormat chart="9" format="30">
      <pivotArea type="data" outline="0" fieldPosition="0">
        <references count="2">
          <reference field="4294967294" count="1" selected="0">
            <x v="0"/>
          </reference>
          <reference field="1" count="1" selected="0">
            <x v="1"/>
          </reference>
        </references>
      </pivotArea>
    </chartFormat>
    <chartFormat chart="9" format="31">
      <pivotArea type="data" outline="0" fieldPosition="0">
        <references count="2">
          <reference field="4294967294" count="1" selected="0">
            <x v="0"/>
          </reference>
          <reference field="1" count="1" selected="0">
            <x v="7"/>
          </reference>
        </references>
      </pivotArea>
    </chartFormat>
    <chartFormat chart="9" format="32">
      <pivotArea type="data" outline="0" fieldPosition="0">
        <references count="2">
          <reference field="4294967294" count="1" selected="0">
            <x v="0"/>
          </reference>
          <reference field="1" count="1" selected="0">
            <x v="3"/>
          </reference>
        </references>
      </pivotArea>
    </chartFormat>
  </chartFormats>
  <pivotTableStyleInfo name="PivotStyleMedium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8D9931-7516-4E5F-8A28-0ABA2E48920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B11" firstHeaderRow="1" firstDataRow="1" firstDataCol="1" rowPageCount="1" colPageCount="1"/>
  <pivotFields count="7">
    <pivotField showAll="0">
      <items count="32">
        <item x="20"/>
        <item x="22"/>
        <item x="19"/>
        <item x="29"/>
        <item x="4"/>
        <item x="15"/>
        <item x="0"/>
        <item x="1"/>
        <item x="9"/>
        <item x="25"/>
        <item x="5"/>
        <item x="23"/>
        <item x="24"/>
        <item x="18"/>
        <item x="21"/>
        <item x="3"/>
        <item x="27"/>
        <item x="12"/>
        <item x="13"/>
        <item x="7"/>
        <item x="2"/>
        <item x="30"/>
        <item x="10"/>
        <item x="8"/>
        <item x="11"/>
        <item x="26"/>
        <item x="14"/>
        <item x="16"/>
        <item x="28"/>
        <item x="6"/>
        <item x="17"/>
        <item t="default"/>
      </items>
    </pivotField>
    <pivotField showAll="0"/>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axis="axisPage" dataField="1" multipleItemSelectionAllowed="1" showAll="0">
      <items count="5">
        <item h="1" x="3"/>
        <item x="0"/>
        <item h="1" x="2"/>
        <item h="1" x="1"/>
        <item t="default"/>
      </items>
    </pivotField>
    <pivotField showAll="0"/>
    <pivotField showAll="0"/>
    <pivotField showAll="0"/>
  </pivotFields>
  <rowFields count="1">
    <field x="2"/>
  </rowFields>
  <rowItems count="6">
    <i>
      <x v="1"/>
    </i>
    <i>
      <x v="3"/>
    </i>
    <i>
      <x v="2"/>
    </i>
    <i>
      <x/>
    </i>
    <i>
      <x v="4"/>
    </i>
    <i t="grand">
      <x/>
    </i>
  </rowItems>
  <colItems count="1">
    <i/>
  </colItems>
  <pageFields count="1">
    <pageField fld="3" hier="-1"/>
  </pageFields>
  <dataFields count="1">
    <dataField name="Count of Status" fld="3" subtotal="count" baseField="2" baseItem="0"/>
  </dataFields>
  <formats count="24">
    <format dxfId="123">
      <pivotArea type="all" dataOnly="0" outline="0" fieldPosition="0"/>
    </format>
    <format dxfId="122">
      <pivotArea outline="0" collapsedLevelsAreSubtotals="1" fieldPosition="0"/>
    </format>
    <format dxfId="121">
      <pivotArea field="2" type="button" dataOnly="0" labelOnly="1" outline="0" axis="axisRow" fieldPosition="0"/>
    </format>
    <format dxfId="120">
      <pivotArea dataOnly="0" labelOnly="1" fieldPosition="0">
        <references count="1">
          <reference field="2" count="0"/>
        </references>
      </pivotArea>
    </format>
    <format dxfId="119">
      <pivotArea dataOnly="0" labelOnly="1" grandRow="1" outline="0" fieldPosition="0"/>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field="2" type="button" dataOnly="0" labelOnly="1" outline="0" axis="axisRow" fieldPosition="0"/>
    </format>
    <format dxfId="114">
      <pivotArea dataOnly="0" labelOnly="1" fieldPosition="0">
        <references count="1">
          <reference field="2" count="0"/>
        </references>
      </pivotArea>
    </format>
    <format dxfId="113">
      <pivotArea dataOnly="0" labelOnly="1" grandRow="1" outline="0" fieldPosition="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field="2" type="button" dataOnly="0" labelOnly="1" outline="0" axis="axisRow" fieldPosition="0"/>
    </format>
    <format dxfId="108">
      <pivotArea dataOnly="0" labelOnly="1" fieldPosition="0">
        <references count="1">
          <reference field="2" count="0"/>
        </references>
      </pivotArea>
    </format>
    <format dxfId="107">
      <pivotArea dataOnly="0" labelOnly="1" grandRow="1" outline="0" fieldPosition="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field="2" type="button" dataOnly="0" labelOnly="1" outline="0" axis="axisRow" fieldPosition="0"/>
    </format>
    <format dxfId="102">
      <pivotArea dataOnly="0" labelOnly="1" fieldPosition="0">
        <references count="1">
          <reference field="2" count="0"/>
        </references>
      </pivotArea>
    </format>
    <format dxfId="101">
      <pivotArea dataOnly="0" labelOnly="1" grandRow="1" outline="0" fieldPosition="0"/>
    </format>
    <format dxfId="100">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2" count="1" selected="0">
            <x v="3"/>
          </reference>
        </references>
      </pivotArea>
    </chartFormat>
    <chartFormat chart="5" format="14">
      <pivotArea type="data" outline="0" fieldPosition="0">
        <references count="2">
          <reference field="4294967294" count="1" selected="0">
            <x v="0"/>
          </reference>
          <reference field="2" count="1" selected="0">
            <x v="1"/>
          </reference>
        </references>
      </pivotArea>
    </chartFormat>
    <chartFormat chart="5" format="15">
      <pivotArea type="data" outline="0" fieldPosition="0">
        <references count="2">
          <reference field="4294967294" count="1" selected="0">
            <x v="0"/>
          </reference>
          <reference field="2" count="1" selected="0">
            <x v="2"/>
          </reference>
        </references>
      </pivotArea>
    </chartFormat>
    <chartFormat chart="5" format="16">
      <pivotArea type="data" outline="0" fieldPosition="0">
        <references count="2">
          <reference field="4294967294" count="1" selected="0">
            <x v="0"/>
          </reference>
          <reference field="2" count="1" selected="0">
            <x v="0"/>
          </reference>
        </references>
      </pivotArea>
    </chartFormat>
    <chartFormat chart="5" format="17">
      <pivotArea type="data" outline="0" fieldPosition="0">
        <references count="2">
          <reference field="4294967294" count="1" selected="0">
            <x v="0"/>
          </reference>
          <reference field="2" count="1" selected="0">
            <x v="4"/>
          </reference>
        </references>
      </pivotArea>
    </chartFormat>
  </chartFormats>
  <pivotTableStyleInfo name="PivotStyleMedium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01E176-1AD4-4E90-A2A7-351EAE14593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B12" firstHeaderRow="1" firstDataRow="1" firstDataCol="1" rowPageCount="1" colPageCount="1"/>
  <pivotFields count="7">
    <pivotField showAll="0">
      <items count="32">
        <item x="20"/>
        <item x="22"/>
        <item x="19"/>
        <item x="29"/>
        <item x="4"/>
        <item x="15"/>
        <item x="0"/>
        <item x="1"/>
        <item x="9"/>
        <item x="25"/>
        <item x="5"/>
        <item x="23"/>
        <item x="24"/>
        <item x="18"/>
        <item x="21"/>
        <item x="3"/>
        <item x="27"/>
        <item x="12"/>
        <item x="13"/>
        <item x="7"/>
        <item x="2"/>
        <item x="30"/>
        <item x="10"/>
        <item x="8"/>
        <item x="11"/>
        <item x="26"/>
        <item x="14"/>
        <item x="16"/>
        <item x="28"/>
        <item x="6"/>
        <item x="17"/>
        <item t="default"/>
      </items>
    </pivotField>
    <pivotField showAll="0"/>
    <pivotField showAll="0">
      <items count="6">
        <item x="2"/>
        <item x="3"/>
        <item x="0"/>
        <item x="1"/>
        <item x="4"/>
        <item t="default"/>
      </items>
    </pivotField>
    <pivotField axis="axisPage" dataField="1" multipleItemSelectionAllowed="1" showAll="0">
      <items count="5">
        <item h="1" x="3"/>
        <item x="0"/>
        <item h="1" x="2"/>
        <item h="1" x="1"/>
        <item t="default"/>
      </items>
    </pivotField>
    <pivotField showAll="0"/>
    <pivotField axis="axisRow" showAll="0" sortType="descending">
      <items count="8">
        <item x="4"/>
        <item x="3"/>
        <item x="5"/>
        <item x="0"/>
        <item x="1"/>
        <item x="2"/>
        <item x="6"/>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s>
  <rowFields count="1">
    <field x="5"/>
  </rowFields>
  <rowItems count="8">
    <i>
      <x v="2"/>
    </i>
    <i>
      <x v="6"/>
    </i>
    <i>
      <x v="3"/>
    </i>
    <i>
      <x/>
    </i>
    <i>
      <x v="1"/>
    </i>
    <i>
      <x v="5"/>
    </i>
    <i>
      <x v="4"/>
    </i>
    <i t="grand">
      <x/>
    </i>
  </rowItems>
  <colItems count="1">
    <i/>
  </colItems>
  <pageFields count="1">
    <pageField fld="3" hier="-1"/>
  </pageFields>
  <dataFields count="1">
    <dataField name="Count of Status" fld="3" subtotal="count" baseField="0" baseItem="0"/>
  </dataFields>
  <formats count="30">
    <format dxfId="99">
      <pivotArea type="all" dataOnly="0" outline="0" fieldPosition="0"/>
    </format>
    <format dxfId="98">
      <pivotArea outline="0" collapsedLevelsAreSubtotals="1" fieldPosition="0"/>
    </format>
    <format dxfId="97">
      <pivotArea field="5" type="button" dataOnly="0" labelOnly="1" outline="0" axis="axisRow" fieldPosition="0"/>
    </format>
    <format dxfId="96">
      <pivotArea dataOnly="0" labelOnly="1" fieldPosition="0">
        <references count="1">
          <reference field="5" count="0"/>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5" type="button" dataOnly="0" labelOnly="1" outline="0" axis="axisRow" fieldPosition="0"/>
    </format>
    <format dxfId="90">
      <pivotArea dataOnly="0" labelOnly="1" fieldPosition="0">
        <references count="1">
          <reference field="5" count="0"/>
        </references>
      </pivotArea>
    </format>
    <format dxfId="89">
      <pivotArea dataOnly="0" labelOnly="1" grandRow="1" outline="0"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5" type="button" dataOnly="0" labelOnly="1" outline="0" axis="axisRow" fieldPosition="0"/>
    </format>
    <format dxfId="84">
      <pivotArea dataOnly="0" labelOnly="1" fieldPosition="0">
        <references count="1">
          <reference field="5" count="0"/>
        </references>
      </pivotArea>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5" type="button" dataOnly="0" labelOnly="1" outline="0" axis="axisRow" fieldPosition="0"/>
    </format>
    <format dxfId="78">
      <pivotArea dataOnly="0" labelOnly="1" fieldPosition="0">
        <references count="1">
          <reference field="5"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5" type="button" dataOnly="0" labelOnly="1" outline="0" axis="axisRow" fieldPosition="0"/>
    </format>
    <format dxfId="72">
      <pivotArea dataOnly="0" labelOnly="1" fieldPosition="0">
        <references count="1">
          <reference field="5" count="0"/>
        </references>
      </pivotArea>
    </format>
    <format dxfId="71">
      <pivotArea dataOnly="0" labelOnly="1" grandRow="1" outline="0" fieldPosition="0"/>
    </format>
    <format dxfId="7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5C8065-7691-431D-BE21-9DB2A65B9D3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4:B10" firstHeaderRow="1" firstDataRow="1" firstDataCol="1" rowPageCount="1" colPageCount="1"/>
  <pivotFields count="7">
    <pivotField showAll="0">
      <items count="32">
        <item x="20"/>
        <item x="22"/>
        <item x="19"/>
        <item x="29"/>
        <item x="4"/>
        <item x="15"/>
        <item x="0"/>
        <item x="1"/>
        <item x="9"/>
        <item x="25"/>
        <item x="5"/>
        <item x="23"/>
        <item x="24"/>
        <item x="18"/>
        <item x="21"/>
        <item x="3"/>
        <item x="27"/>
        <item x="12"/>
        <item x="13"/>
        <item x="7"/>
        <item x="2"/>
        <item x="30"/>
        <item x="10"/>
        <item x="8"/>
        <item x="11"/>
        <item x="26"/>
        <item x="14"/>
        <item x="16"/>
        <item x="28"/>
        <item x="6"/>
        <item x="17"/>
        <item t="default"/>
      </items>
    </pivotField>
    <pivotField showAll="0"/>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axis="axisPage" multipleItemSelectionAllowed="1" showAll="0">
      <items count="5">
        <item h="1" x="3"/>
        <item x="0"/>
        <item h="1" x="2"/>
        <item h="1" x="1"/>
        <item t="default"/>
      </items>
    </pivotField>
    <pivotField dataField="1" showAll="0"/>
    <pivotField showAll="0"/>
    <pivotField showAll="0"/>
  </pivotFields>
  <rowFields count="1">
    <field x="2"/>
  </rowFields>
  <rowItems count="6">
    <i>
      <x v="1"/>
    </i>
    <i>
      <x v="3"/>
    </i>
    <i>
      <x v="2"/>
    </i>
    <i>
      <x/>
    </i>
    <i>
      <x v="4"/>
    </i>
    <i t="grand">
      <x/>
    </i>
  </rowItems>
  <colItems count="1">
    <i/>
  </colItems>
  <pageFields count="1">
    <pageField fld="3" hier="-1"/>
  </pageFields>
  <dataFields count="1">
    <dataField name="Count of Month" fld="4" subtotal="count" baseField="0" baseItem="0"/>
  </dataFields>
  <formats count="30">
    <format dxfId="69">
      <pivotArea type="all" dataOnly="0" outline="0" fieldPosition="0"/>
    </format>
    <format dxfId="68">
      <pivotArea outline="0" collapsedLevelsAreSubtotals="1" fieldPosition="0"/>
    </format>
    <format dxfId="67">
      <pivotArea field="2" type="button" dataOnly="0" labelOnly="1" outline="0" axis="axisRow" fieldPosition="0"/>
    </format>
    <format dxfId="66">
      <pivotArea dataOnly="0" labelOnly="1" fieldPosition="0">
        <references count="1">
          <reference field="2" count="0"/>
        </references>
      </pivotArea>
    </format>
    <format dxfId="65">
      <pivotArea dataOnly="0" labelOnly="1" grandRow="1" outline="0"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2" type="button" dataOnly="0" labelOnly="1" outline="0" axis="axisRow" fieldPosition="0"/>
    </format>
    <format dxfId="60">
      <pivotArea dataOnly="0" labelOnly="1" fieldPosition="0">
        <references count="1">
          <reference field="2" count="0"/>
        </references>
      </pivotArea>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2" type="button" dataOnly="0" labelOnly="1" outline="0" axis="axisRow" fieldPosition="0"/>
    </format>
    <format dxfId="54">
      <pivotArea dataOnly="0" labelOnly="1" fieldPosition="0">
        <references count="1">
          <reference field="2" count="0"/>
        </references>
      </pivotArea>
    </format>
    <format dxfId="53">
      <pivotArea dataOnly="0" labelOnly="1" grandRow="1" outline="0"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2" type="button" dataOnly="0" labelOnly="1" outline="0" axis="axisRow" fieldPosition="0"/>
    </format>
    <format dxfId="48">
      <pivotArea dataOnly="0" labelOnly="1" fieldPosition="0">
        <references count="1">
          <reference field="2" count="0"/>
        </references>
      </pivotArea>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2" type="button" dataOnly="0" labelOnly="1" outline="0" axis="axisRow" fieldPosition="0"/>
    </format>
    <format dxfId="42">
      <pivotArea dataOnly="0" labelOnly="1" fieldPosition="0">
        <references count="1">
          <reference field="2" count="0"/>
        </references>
      </pivotArea>
    </format>
    <format dxfId="41">
      <pivotArea dataOnly="0" labelOnly="1" grandRow="1" outline="0" fieldPosition="0"/>
    </format>
    <format dxfId="40">
      <pivotArea dataOnly="0" labelOnly="1" outline="0" axis="axisValues" fieldPosition="0"/>
    </format>
  </formats>
  <chartFormats count="3">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s>
  <pivotTableStyleInfo name="PivotStyleMedium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E2F92FD-C40B-4FDB-BAB4-D41A5D278EF8}" sourceName="Department">
  <pivotTables>
    <pivotTable tabId="3" name="PivotTable1"/>
    <pivotTable tabId="9" name="PivotTable1"/>
    <pivotTable tabId="11" name="PivotTable2"/>
    <pivotTable tabId="12" name="PivotTable3"/>
    <pivotTable tabId="10" name="PivotTable1"/>
    <pivotTable tabId="7" name="PivotTable3"/>
  </pivotTables>
  <data>
    <tabular pivotCacheId="674304854">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F9C1999-D72D-4119-B192-A36E83888AC8}" sourceName="Status">
  <pivotTables>
    <pivotTable tabId="10" name="PivotTable1"/>
    <pivotTable tabId="9" name="PivotTable1"/>
    <pivotTable tabId="11" name="PivotTable2"/>
    <pivotTable tabId="12" name="PivotTable3"/>
    <pivotTable tabId="7" name="PivotTable3"/>
    <pivotTable tabId="3" name="PivotTable1"/>
  </pivotTables>
  <data>
    <tabular pivotCacheId="674304854">
      <items count="4">
        <i x="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F0A419B8-C42B-4D8B-9044-9AA009F05B6F}" sourceName="Date">
  <pivotTables>
    <pivotTable tabId="10" name="PivotTable1"/>
    <pivotTable tabId="9" name="PivotTable1"/>
    <pivotTable tabId="11" name="PivotTable2"/>
    <pivotTable tabId="12" name="PivotTable3"/>
    <pivotTable tabId="7" name="PivotTable3"/>
    <pivotTable tabId="3" name="PivotTable1"/>
  </pivotTables>
  <data>
    <tabular pivotCacheId="674304854">
      <items count="31">
        <i x="20" s="1"/>
        <i x="22" s="1"/>
        <i x="19" s="1"/>
        <i x="29" s="1"/>
        <i x="4" s="1"/>
        <i x="15" s="1"/>
        <i x="0" s="1"/>
        <i x="1" s="1"/>
        <i x="9" s="1"/>
        <i x="25" s="1"/>
        <i x="5" s="1"/>
        <i x="23" s="1"/>
        <i x="24" s="1"/>
        <i x="18" s="1"/>
        <i x="21" s="1"/>
        <i x="3" s="1"/>
        <i x="27" s="1"/>
        <i x="12" s="1"/>
        <i x="13" s="1"/>
        <i x="7" s="1"/>
        <i x="2" s="1"/>
        <i x="30" s="1"/>
        <i x="10" s="1"/>
        <i x="8" s="1"/>
        <i x="11" s="1"/>
        <i x="26" s="1"/>
        <i x="14" s="1"/>
        <i x="16" s="1"/>
        <i x="28" s="1"/>
        <i x="6" s="1"/>
        <i x="1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969DAD7-9995-46C7-98CC-B8642A36EAC9}" cache="Slicer_Department" caption="Department" rowHeight="241300"/>
  <slicer name="Status" xr10:uid="{5EE1005F-5689-40BF-80EF-AEFD5B6CF13D}" cache="Slicer_Status" caption="Status" startItem="1" rowHeight="241300"/>
  <slicer name="Date" xr10:uid="{25383F36-7E7F-4F85-8BD9-3B482902923E}" cache="Slicer_Date" caption="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E85E2B-ECE1-4995-BC67-92DD5AFD84CD}" name="Attendance_Data" displayName="Attendance_Data" ref="A1:G501" totalsRowShown="0" headerRowDxfId="29" dataDxfId="28" headerRowBorderDxfId="38" tableBorderDxfId="39" totalsRowBorderDxfId="37">
  <autoFilter ref="A1:G501" xr:uid="{2FE85E2B-ECE1-4995-BC67-92DD5AFD84CD}"/>
  <tableColumns count="7">
    <tableColumn id="1" xr3:uid="{6975A273-7176-41B3-AB6A-F46A6FE8B82A}" name="Date" dataDxfId="36"/>
    <tableColumn id="2" xr3:uid="{38C58E15-7E27-49DB-A50A-24344246EF69}" name="Employee Name" dataDxfId="35"/>
    <tableColumn id="3" xr3:uid="{59A5008C-8061-46A0-BEAA-149BB91351BB}" name="Department" dataDxfId="34"/>
    <tableColumn id="4" xr3:uid="{0BE5890A-23AF-4D22-8D71-33FA8E04BD97}" name="Status" dataDxfId="33"/>
    <tableColumn id="5" xr3:uid="{1A6F90A2-1A24-43DF-AB1D-EC3858E1675A}" name="Month" dataDxfId="32">
      <calculatedColumnFormula>TEXT(Attendance_Data[[#This Row],[Date]], "mmm")</calculatedColumnFormula>
    </tableColumn>
    <tableColumn id="6" xr3:uid="{B12DDD2E-CED4-42DA-A51F-703D0D6D2E31}" name="Day" dataDxfId="31">
      <calculatedColumnFormula>TEXT(Attendance_Data[[#This Row],[Date]], "dddd")</calculatedColumnFormula>
    </tableColumn>
    <tableColumn id="7" xr3:uid="{60E4BDBD-1872-465D-9EF2-0DA338BD81BF}" name="Attendance_Value" dataDxfId="30">
      <calculatedColumnFormula>IF(OR(D2="Present", D2="Late"),1,0)</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1E86A-4983-4C72-9AE5-0C08DBDA2E04}">
  <dimension ref="A1:G501"/>
  <sheetViews>
    <sheetView workbookViewId="0">
      <selection activeCell="J11" sqref="J11"/>
    </sheetView>
  </sheetViews>
  <sheetFormatPr defaultRowHeight="15" x14ac:dyDescent="0.25"/>
  <cols>
    <col min="1" max="1" width="20" style="1" customWidth="1"/>
    <col min="2" max="2" width="28" style="1" customWidth="1"/>
    <col min="3" max="4" width="16.28515625" style="1" customWidth="1"/>
    <col min="5" max="5" width="9.140625" style="1"/>
    <col min="6" max="6" width="11.85546875" style="1" customWidth="1"/>
    <col min="7" max="7" width="22.28515625" style="1" customWidth="1"/>
    <col min="8" max="16384" width="9.140625" style="1"/>
  </cols>
  <sheetData>
    <row r="1" spans="1:7" ht="19.5" x14ac:dyDescent="0.25">
      <c r="A1" s="19" t="s">
        <v>50</v>
      </c>
      <c r="B1" s="19" t="s">
        <v>51</v>
      </c>
      <c r="C1" s="19" t="s">
        <v>52</v>
      </c>
      <c r="D1" s="19" t="s">
        <v>53</v>
      </c>
      <c r="E1" s="19" t="s">
        <v>54</v>
      </c>
      <c r="F1" s="19" t="s">
        <v>55</v>
      </c>
      <c r="G1" s="19" t="s">
        <v>56</v>
      </c>
    </row>
    <row r="2" spans="1:7" ht="19.5" x14ac:dyDescent="0.25">
      <c r="A2" s="20" t="s">
        <v>0</v>
      </c>
      <c r="B2" s="20" t="s">
        <v>1</v>
      </c>
      <c r="C2" s="20" t="s">
        <v>2</v>
      </c>
      <c r="D2" s="20" t="s">
        <v>3</v>
      </c>
      <c r="E2" s="20" t="str">
        <f>TEXT(Attendance_Data[[#This Row],[Date]], "mmm")</f>
        <v>May</v>
      </c>
      <c r="F2" s="20" t="str">
        <f>TEXT(Attendance_Data[[#This Row],[Date]], "dddd")</f>
        <v>Wednesday</v>
      </c>
      <c r="G2" s="20">
        <f t="shared" ref="G2:G65" si="0">IF(OR(D2="Present", D2="Late"),1,0)</f>
        <v>1</v>
      </c>
    </row>
    <row r="3" spans="1:7" ht="19.5" x14ac:dyDescent="0.25">
      <c r="A3" s="20" t="s">
        <v>4</v>
      </c>
      <c r="B3" s="20" t="s">
        <v>5</v>
      </c>
      <c r="C3" s="20" t="s">
        <v>6</v>
      </c>
      <c r="D3" s="20" t="s">
        <v>7</v>
      </c>
      <c r="E3" s="20" t="str">
        <f>TEXT(Attendance_Data[[#This Row],[Date]], "mmm")</f>
        <v>May</v>
      </c>
      <c r="F3" s="20" t="str">
        <f>TEXT(Attendance_Data[[#This Row],[Date]], "dddd")</f>
        <v>Thursday</v>
      </c>
      <c r="G3" s="20">
        <f t="shared" si="0"/>
        <v>1</v>
      </c>
    </row>
    <row r="4" spans="1:7" ht="19.5" x14ac:dyDescent="0.25">
      <c r="A4" s="20" t="s">
        <v>8</v>
      </c>
      <c r="B4" s="20" t="s">
        <v>9</v>
      </c>
      <c r="C4" s="20" t="s">
        <v>2</v>
      </c>
      <c r="D4" s="20" t="s">
        <v>3</v>
      </c>
      <c r="E4" s="20" t="str">
        <f>TEXT(Attendance_Data[[#This Row],[Date]], "mmm")</f>
        <v>May</v>
      </c>
      <c r="F4" s="20" t="str">
        <f>TEXT(Attendance_Data[[#This Row],[Date]], "dddd")</f>
        <v>Wednesday</v>
      </c>
      <c r="G4" s="20">
        <f t="shared" si="0"/>
        <v>1</v>
      </c>
    </row>
    <row r="5" spans="1:7" ht="19.5" x14ac:dyDescent="0.25">
      <c r="A5" s="20" t="s">
        <v>10</v>
      </c>
      <c r="B5" s="20" t="s">
        <v>11</v>
      </c>
      <c r="C5" s="20" t="s">
        <v>6</v>
      </c>
      <c r="D5" s="20" t="s">
        <v>7</v>
      </c>
      <c r="E5" s="20" t="str">
        <f>TEXT(Attendance_Data[[#This Row],[Date]], "mmm")</f>
        <v>May</v>
      </c>
      <c r="F5" s="20" t="str">
        <f>TEXT(Attendance_Data[[#This Row],[Date]], "dddd")</f>
        <v>Friday</v>
      </c>
      <c r="G5" s="20">
        <f t="shared" si="0"/>
        <v>1</v>
      </c>
    </row>
    <row r="6" spans="1:7" ht="19.5" x14ac:dyDescent="0.25">
      <c r="A6" s="20" t="s">
        <v>12</v>
      </c>
      <c r="B6" s="20" t="s">
        <v>13</v>
      </c>
      <c r="C6" s="20" t="s">
        <v>14</v>
      </c>
      <c r="D6" s="20" t="s">
        <v>7</v>
      </c>
      <c r="E6" s="20" t="str">
        <f>TEXT(Attendance_Data[[#This Row],[Date]], "mmm")</f>
        <v>May</v>
      </c>
      <c r="F6" s="20" t="str">
        <f>TEXT(Attendance_Data[[#This Row],[Date]], "dddd")</f>
        <v>Monday</v>
      </c>
      <c r="G6" s="20">
        <f t="shared" si="0"/>
        <v>1</v>
      </c>
    </row>
    <row r="7" spans="1:7" ht="19.5" x14ac:dyDescent="0.25">
      <c r="A7" s="20" t="s">
        <v>15</v>
      </c>
      <c r="B7" s="20" t="s">
        <v>13</v>
      </c>
      <c r="C7" s="20" t="s">
        <v>14</v>
      </c>
      <c r="D7" s="20" t="s">
        <v>3</v>
      </c>
      <c r="E7" s="20" t="str">
        <f>TEXT(Attendance_Data[[#This Row],[Date]], "mmm")</f>
        <v>May</v>
      </c>
      <c r="F7" s="20" t="str">
        <f>TEXT(Attendance_Data[[#This Row],[Date]], "dddd")</f>
        <v>Sunday</v>
      </c>
      <c r="G7" s="20">
        <f t="shared" si="0"/>
        <v>1</v>
      </c>
    </row>
    <row r="8" spans="1:7" ht="19.5" x14ac:dyDescent="0.25">
      <c r="A8" s="20" t="s">
        <v>4</v>
      </c>
      <c r="B8" s="20" t="s">
        <v>16</v>
      </c>
      <c r="C8" s="20" t="s">
        <v>14</v>
      </c>
      <c r="D8" s="20" t="s">
        <v>7</v>
      </c>
      <c r="E8" s="20" t="str">
        <f>TEXT(Attendance_Data[[#This Row],[Date]], "mmm")</f>
        <v>May</v>
      </c>
      <c r="F8" s="20" t="str">
        <f>TEXT(Attendance_Data[[#This Row],[Date]], "dddd")</f>
        <v>Thursday</v>
      </c>
      <c r="G8" s="20">
        <f t="shared" si="0"/>
        <v>1</v>
      </c>
    </row>
    <row r="9" spans="1:7" ht="19.5" x14ac:dyDescent="0.25">
      <c r="A9" s="20" t="s">
        <v>17</v>
      </c>
      <c r="B9" s="20" t="s">
        <v>1</v>
      </c>
      <c r="C9" s="20" t="s">
        <v>2</v>
      </c>
      <c r="D9" s="20" t="s">
        <v>7</v>
      </c>
      <c r="E9" s="20" t="str">
        <f>TEXT(Attendance_Data[[#This Row],[Date]], "mmm")</f>
        <v>May</v>
      </c>
      <c r="F9" s="20" t="str">
        <f>TEXT(Attendance_Data[[#This Row],[Date]], "dddd")</f>
        <v>Friday</v>
      </c>
      <c r="G9" s="20">
        <f t="shared" si="0"/>
        <v>1</v>
      </c>
    </row>
    <row r="10" spans="1:7" ht="19.5" x14ac:dyDescent="0.25">
      <c r="A10" s="20" t="s">
        <v>18</v>
      </c>
      <c r="B10" s="20" t="s">
        <v>16</v>
      </c>
      <c r="C10" s="20" t="s">
        <v>14</v>
      </c>
      <c r="D10" s="20" t="s">
        <v>7</v>
      </c>
      <c r="E10" s="20" t="str">
        <f>TEXT(Attendance_Data[[#This Row],[Date]], "mmm")</f>
        <v>May</v>
      </c>
      <c r="F10" s="20" t="str">
        <f>TEXT(Attendance_Data[[#This Row],[Date]], "dddd")</f>
        <v>Tuesday</v>
      </c>
      <c r="G10" s="20">
        <f t="shared" si="0"/>
        <v>1</v>
      </c>
    </row>
    <row r="11" spans="1:7" ht="19.5" x14ac:dyDescent="0.25">
      <c r="A11" s="20" t="s">
        <v>19</v>
      </c>
      <c r="B11" s="20" t="s">
        <v>9</v>
      </c>
      <c r="C11" s="20" t="s">
        <v>2</v>
      </c>
      <c r="D11" s="20" t="s">
        <v>7</v>
      </c>
      <c r="E11" s="20" t="str">
        <f>TEXT(Attendance_Data[[#This Row],[Date]], "mmm")</f>
        <v>May</v>
      </c>
      <c r="F11" s="20" t="str">
        <f>TEXT(Attendance_Data[[#This Row],[Date]], "dddd")</f>
        <v>Saturday</v>
      </c>
      <c r="G11" s="20">
        <f t="shared" si="0"/>
        <v>1</v>
      </c>
    </row>
    <row r="12" spans="1:7" ht="19.5" x14ac:dyDescent="0.25">
      <c r="A12" s="20" t="s">
        <v>4</v>
      </c>
      <c r="B12" s="20" t="s">
        <v>5</v>
      </c>
      <c r="C12" s="20" t="s">
        <v>6</v>
      </c>
      <c r="D12" s="20" t="s">
        <v>20</v>
      </c>
      <c r="E12" s="20" t="str">
        <f>TEXT(Attendance_Data[[#This Row],[Date]], "mmm")</f>
        <v>May</v>
      </c>
      <c r="F12" s="20" t="str">
        <f>TEXT(Attendance_Data[[#This Row],[Date]], "dddd")</f>
        <v>Thursday</v>
      </c>
      <c r="G12" s="20">
        <f t="shared" si="0"/>
        <v>0</v>
      </c>
    </row>
    <row r="13" spans="1:7" ht="19.5" x14ac:dyDescent="0.25">
      <c r="A13" s="20" t="s">
        <v>12</v>
      </c>
      <c r="B13" s="20" t="s">
        <v>1</v>
      </c>
      <c r="C13" s="20" t="s">
        <v>2</v>
      </c>
      <c r="D13" s="20" t="s">
        <v>7</v>
      </c>
      <c r="E13" s="20" t="str">
        <f>TEXT(Attendance_Data[[#This Row],[Date]], "mmm")</f>
        <v>May</v>
      </c>
      <c r="F13" s="20" t="str">
        <f>TEXT(Attendance_Data[[#This Row],[Date]], "dddd")</f>
        <v>Monday</v>
      </c>
      <c r="G13" s="20">
        <f t="shared" si="0"/>
        <v>1</v>
      </c>
    </row>
    <row r="14" spans="1:7" ht="19.5" x14ac:dyDescent="0.25">
      <c r="A14" s="20" t="s">
        <v>8</v>
      </c>
      <c r="B14" s="20" t="s">
        <v>13</v>
      </c>
      <c r="C14" s="20" t="s">
        <v>14</v>
      </c>
      <c r="D14" s="20" t="s">
        <v>7</v>
      </c>
      <c r="E14" s="20" t="str">
        <f>TEXT(Attendance_Data[[#This Row],[Date]], "mmm")</f>
        <v>May</v>
      </c>
      <c r="F14" s="20" t="str">
        <f>TEXT(Attendance_Data[[#This Row],[Date]], "dddd")</f>
        <v>Wednesday</v>
      </c>
      <c r="G14" s="20">
        <f t="shared" si="0"/>
        <v>1</v>
      </c>
    </row>
    <row r="15" spans="1:7" ht="19.5" x14ac:dyDescent="0.25">
      <c r="A15" s="20" t="s">
        <v>21</v>
      </c>
      <c r="B15" s="20" t="s">
        <v>1</v>
      </c>
      <c r="C15" s="20" t="s">
        <v>2</v>
      </c>
      <c r="D15" s="20" t="s">
        <v>3</v>
      </c>
      <c r="E15" s="20" t="str">
        <f>TEXT(Attendance_Data[[#This Row],[Date]], "mmm")</f>
        <v>May</v>
      </c>
      <c r="F15" s="20" t="str">
        <f>TEXT(Attendance_Data[[#This Row],[Date]], "dddd")</f>
        <v>Friday</v>
      </c>
      <c r="G15" s="20">
        <f t="shared" si="0"/>
        <v>1</v>
      </c>
    </row>
    <row r="16" spans="1:7" ht="19.5" x14ac:dyDescent="0.25">
      <c r="A16" s="20" t="s">
        <v>22</v>
      </c>
      <c r="B16" s="20" t="s">
        <v>23</v>
      </c>
      <c r="C16" s="20" t="s">
        <v>24</v>
      </c>
      <c r="D16" s="20" t="s">
        <v>20</v>
      </c>
      <c r="E16" s="20" t="str">
        <f>TEXT(Attendance_Data[[#This Row],[Date]], "mmm")</f>
        <v>May</v>
      </c>
      <c r="F16" s="20" t="str">
        <f>TEXT(Attendance_Data[[#This Row],[Date]], "dddd")</f>
        <v>Friday</v>
      </c>
      <c r="G16" s="20">
        <f t="shared" si="0"/>
        <v>0</v>
      </c>
    </row>
    <row r="17" spans="1:7" ht="19.5" x14ac:dyDescent="0.25">
      <c r="A17" s="20" t="s">
        <v>22</v>
      </c>
      <c r="B17" s="20" t="s">
        <v>11</v>
      </c>
      <c r="C17" s="20" t="s">
        <v>6</v>
      </c>
      <c r="D17" s="20" t="s">
        <v>7</v>
      </c>
      <c r="E17" s="20" t="str">
        <f>TEXT(Attendance_Data[[#This Row],[Date]], "mmm")</f>
        <v>May</v>
      </c>
      <c r="F17" s="20" t="str">
        <f>TEXT(Attendance_Data[[#This Row],[Date]], "dddd")</f>
        <v>Friday</v>
      </c>
      <c r="G17" s="20">
        <f t="shared" si="0"/>
        <v>1</v>
      </c>
    </row>
    <row r="18" spans="1:7" ht="19.5" x14ac:dyDescent="0.25">
      <c r="A18" s="20" t="s">
        <v>25</v>
      </c>
      <c r="B18" s="20" t="s">
        <v>11</v>
      </c>
      <c r="C18" s="20" t="s">
        <v>6</v>
      </c>
      <c r="D18" s="20" t="s">
        <v>7</v>
      </c>
      <c r="E18" s="20" t="str">
        <f>TEXT(Attendance_Data[[#This Row],[Date]], "mmm")</f>
        <v>May</v>
      </c>
      <c r="F18" s="20" t="str">
        <f>TEXT(Attendance_Data[[#This Row],[Date]], "dddd")</f>
        <v>Sunday</v>
      </c>
      <c r="G18" s="20">
        <f t="shared" si="0"/>
        <v>1</v>
      </c>
    </row>
    <row r="19" spans="1:7" ht="19.5" x14ac:dyDescent="0.25">
      <c r="A19" s="20" t="s">
        <v>26</v>
      </c>
      <c r="B19" s="20" t="s">
        <v>27</v>
      </c>
      <c r="C19" s="20" t="s">
        <v>28</v>
      </c>
      <c r="D19" s="20" t="s">
        <v>3</v>
      </c>
      <c r="E19" s="20" t="str">
        <f>TEXT(Attendance_Data[[#This Row],[Date]], "mmm")</f>
        <v>May</v>
      </c>
      <c r="F19" s="20" t="str">
        <f>TEXT(Attendance_Data[[#This Row],[Date]], "dddd")</f>
        <v>Sunday</v>
      </c>
      <c r="G19" s="20">
        <f t="shared" si="0"/>
        <v>1</v>
      </c>
    </row>
    <row r="20" spans="1:7" ht="19.5" x14ac:dyDescent="0.25">
      <c r="A20" s="20" t="s">
        <v>29</v>
      </c>
      <c r="B20" s="20" t="s">
        <v>30</v>
      </c>
      <c r="C20" s="20" t="s">
        <v>24</v>
      </c>
      <c r="D20" s="20" t="s">
        <v>7</v>
      </c>
      <c r="E20" s="20" t="str">
        <f>TEXT(Attendance_Data[[#This Row],[Date]], "mmm")</f>
        <v>May</v>
      </c>
      <c r="F20" s="20" t="str">
        <f>TEXT(Attendance_Data[[#This Row],[Date]], "dddd")</f>
        <v>Monday</v>
      </c>
      <c r="G20" s="20">
        <f t="shared" si="0"/>
        <v>1</v>
      </c>
    </row>
    <row r="21" spans="1:7" ht="19.5" x14ac:dyDescent="0.25">
      <c r="A21" s="20" t="s">
        <v>31</v>
      </c>
      <c r="B21" s="20" t="s">
        <v>30</v>
      </c>
      <c r="C21" s="20" t="s">
        <v>24</v>
      </c>
      <c r="D21" s="20" t="s">
        <v>20</v>
      </c>
      <c r="E21" s="20" t="str">
        <f>TEXT(Attendance_Data[[#This Row],[Date]], "mmm")</f>
        <v>May</v>
      </c>
      <c r="F21" s="20" t="str">
        <f>TEXT(Attendance_Data[[#This Row],[Date]], "dddd")</f>
        <v>Tuesday</v>
      </c>
      <c r="G21" s="20">
        <f t="shared" si="0"/>
        <v>0</v>
      </c>
    </row>
    <row r="22" spans="1:7" ht="19.5" x14ac:dyDescent="0.25">
      <c r="A22" s="20" t="s">
        <v>32</v>
      </c>
      <c r="B22" s="20" t="s">
        <v>23</v>
      </c>
      <c r="C22" s="20" t="s">
        <v>24</v>
      </c>
      <c r="D22" s="20" t="s">
        <v>7</v>
      </c>
      <c r="E22" s="20" t="str">
        <f>TEXT(Attendance_Data[[#This Row],[Date]], "mmm")</f>
        <v>May</v>
      </c>
      <c r="F22" s="20" t="str">
        <f>TEXT(Attendance_Data[[#This Row],[Date]], "dddd")</f>
        <v>Tuesday</v>
      </c>
      <c r="G22" s="20">
        <f t="shared" si="0"/>
        <v>1</v>
      </c>
    </row>
    <row r="23" spans="1:7" ht="19.5" x14ac:dyDescent="0.25">
      <c r="A23" s="20" t="s">
        <v>17</v>
      </c>
      <c r="B23" s="20" t="s">
        <v>16</v>
      </c>
      <c r="C23" s="20" t="s">
        <v>14</v>
      </c>
      <c r="D23" s="20" t="s">
        <v>7</v>
      </c>
      <c r="E23" s="20" t="str">
        <f>TEXT(Attendance_Data[[#This Row],[Date]], "mmm")</f>
        <v>May</v>
      </c>
      <c r="F23" s="20" t="str">
        <f>TEXT(Attendance_Data[[#This Row],[Date]], "dddd")</f>
        <v>Friday</v>
      </c>
      <c r="G23" s="20">
        <f t="shared" si="0"/>
        <v>1</v>
      </c>
    </row>
    <row r="24" spans="1:7" ht="19.5" x14ac:dyDescent="0.25">
      <c r="A24" s="20" t="s">
        <v>10</v>
      </c>
      <c r="B24" s="20" t="s">
        <v>23</v>
      </c>
      <c r="C24" s="20" t="s">
        <v>24</v>
      </c>
      <c r="D24" s="20" t="s">
        <v>7</v>
      </c>
      <c r="E24" s="20" t="str">
        <f>TEXT(Attendance_Data[[#This Row],[Date]], "mmm")</f>
        <v>May</v>
      </c>
      <c r="F24" s="20" t="str">
        <f>TEXT(Attendance_Data[[#This Row],[Date]], "dddd")</f>
        <v>Friday</v>
      </c>
      <c r="G24" s="20">
        <f t="shared" si="0"/>
        <v>1</v>
      </c>
    </row>
    <row r="25" spans="1:7" ht="19.5" x14ac:dyDescent="0.25">
      <c r="A25" s="20" t="s">
        <v>17</v>
      </c>
      <c r="B25" s="20" t="s">
        <v>13</v>
      </c>
      <c r="C25" s="20" t="s">
        <v>14</v>
      </c>
      <c r="D25" s="20" t="s">
        <v>7</v>
      </c>
      <c r="E25" s="20" t="str">
        <f>TEXT(Attendance_Data[[#This Row],[Date]], "mmm")</f>
        <v>May</v>
      </c>
      <c r="F25" s="20" t="str">
        <f>TEXT(Attendance_Data[[#This Row],[Date]], "dddd")</f>
        <v>Friday</v>
      </c>
      <c r="G25" s="20">
        <f t="shared" si="0"/>
        <v>1</v>
      </c>
    </row>
    <row r="26" spans="1:7" ht="19.5" x14ac:dyDescent="0.25">
      <c r="A26" s="20" t="s">
        <v>22</v>
      </c>
      <c r="B26" s="20" t="s">
        <v>9</v>
      </c>
      <c r="C26" s="20" t="s">
        <v>2</v>
      </c>
      <c r="D26" s="20" t="s">
        <v>7</v>
      </c>
      <c r="E26" s="20" t="str">
        <f>TEXT(Attendance_Data[[#This Row],[Date]], "mmm")</f>
        <v>May</v>
      </c>
      <c r="F26" s="20" t="str">
        <f>TEXT(Attendance_Data[[#This Row],[Date]], "dddd")</f>
        <v>Friday</v>
      </c>
      <c r="G26" s="20">
        <f t="shared" si="0"/>
        <v>1</v>
      </c>
    </row>
    <row r="27" spans="1:7" ht="19.5" x14ac:dyDescent="0.25">
      <c r="A27" s="20" t="s">
        <v>10</v>
      </c>
      <c r="B27" s="20" t="s">
        <v>23</v>
      </c>
      <c r="C27" s="20" t="s">
        <v>24</v>
      </c>
      <c r="D27" s="20" t="s">
        <v>7</v>
      </c>
      <c r="E27" s="20" t="str">
        <f>TEXT(Attendance_Data[[#This Row],[Date]], "mmm")</f>
        <v>May</v>
      </c>
      <c r="F27" s="20" t="str">
        <f>TEXT(Attendance_Data[[#This Row],[Date]], "dddd")</f>
        <v>Friday</v>
      </c>
      <c r="G27" s="20">
        <f t="shared" si="0"/>
        <v>1</v>
      </c>
    </row>
    <row r="28" spans="1:7" ht="19.5" x14ac:dyDescent="0.25">
      <c r="A28" s="20" t="s">
        <v>33</v>
      </c>
      <c r="B28" s="20" t="s">
        <v>23</v>
      </c>
      <c r="C28" s="20" t="s">
        <v>24</v>
      </c>
      <c r="D28" s="20" t="s">
        <v>3</v>
      </c>
      <c r="E28" s="20" t="str">
        <f>TEXT(Attendance_Data[[#This Row],[Date]], "mmm")</f>
        <v>May</v>
      </c>
      <c r="F28" s="20" t="str">
        <f>TEXT(Attendance_Data[[#This Row],[Date]], "dddd")</f>
        <v>Wednesday</v>
      </c>
      <c r="G28" s="20">
        <f t="shared" si="0"/>
        <v>1</v>
      </c>
    </row>
    <row r="29" spans="1:7" ht="19.5" x14ac:dyDescent="0.25">
      <c r="A29" s="20" t="s">
        <v>18</v>
      </c>
      <c r="B29" s="20" t="s">
        <v>16</v>
      </c>
      <c r="C29" s="20" t="s">
        <v>14</v>
      </c>
      <c r="D29" s="20" t="s">
        <v>7</v>
      </c>
      <c r="E29" s="20" t="str">
        <f>TEXT(Attendance_Data[[#This Row],[Date]], "mmm")</f>
        <v>May</v>
      </c>
      <c r="F29" s="20" t="str">
        <f>TEXT(Attendance_Data[[#This Row],[Date]], "dddd")</f>
        <v>Tuesday</v>
      </c>
      <c r="G29" s="20">
        <f t="shared" si="0"/>
        <v>1</v>
      </c>
    </row>
    <row r="30" spans="1:7" ht="19.5" x14ac:dyDescent="0.25">
      <c r="A30" s="20" t="s">
        <v>15</v>
      </c>
      <c r="B30" s="20" t="s">
        <v>16</v>
      </c>
      <c r="C30" s="20" t="s">
        <v>14</v>
      </c>
      <c r="D30" s="20" t="s">
        <v>7</v>
      </c>
      <c r="E30" s="20" t="str">
        <f>TEXT(Attendance_Data[[#This Row],[Date]], "mmm")</f>
        <v>May</v>
      </c>
      <c r="F30" s="20" t="str">
        <f>TEXT(Attendance_Data[[#This Row],[Date]], "dddd")</f>
        <v>Sunday</v>
      </c>
      <c r="G30" s="20">
        <f t="shared" si="0"/>
        <v>1</v>
      </c>
    </row>
    <row r="31" spans="1:7" ht="19.5" x14ac:dyDescent="0.25">
      <c r="A31" s="20" t="s">
        <v>34</v>
      </c>
      <c r="B31" s="20" t="s">
        <v>9</v>
      </c>
      <c r="C31" s="20" t="s">
        <v>2</v>
      </c>
      <c r="D31" s="20" t="s">
        <v>7</v>
      </c>
      <c r="E31" s="20" t="str">
        <f>TEXT(Attendance_Data[[#This Row],[Date]], "mmm")</f>
        <v>May</v>
      </c>
      <c r="F31" s="20" t="str">
        <f>TEXT(Attendance_Data[[#This Row],[Date]], "dddd")</f>
        <v>Saturday</v>
      </c>
      <c r="G31" s="20">
        <f t="shared" si="0"/>
        <v>1</v>
      </c>
    </row>
    <row r="32" spans="1:7" ht="19.5" x14ac:dyDescent="0.25">
      <c r="A32" s="20" t="s">
        <v>35</v>
      </c>
      <c r="B32" s="20" t="s">
        <v>30</v>
      </c>
      <c r="C32" s="20" t="s">
        <v>24</v>
      </c>
      <c r="D32" s="20" t="s">
        <v>7</v>
      </c>
      <c r="E32" s="20" t="str">
        <f>TEXT(Attendance_Data[[#This Row],[Date]], "mmm")</f>
        <v>May</v>
      </c>
      <c r="F32" s="20" t="str">
        <f>TEXT(Attendance_Data[[#This Row],[Date]], "dddd")</f>
        <v>Wednesday</v>
      </c>
      <c r="G32" s="20">
        <f t="shared" si="0"/>
        <v>1</v>
      </c>
    </row>
    <row r="33" spans="1:7" ht="19.5" x14ac:dyDescent="0.25">
      <c r="A33" s="20" t="s">
        <v>36</v>
      </c>
      <c r="B33" s="20" t="s">
        <v>5</v>
      </c>
      <c r="C33" s="20" t="s">
        <v>6</v>
      </c>
      <c r="D33" s="20" t="s">
        <v>3</v>
      </c>
      <c r="E33" s="20" t="str">
        <f>TEXT(Attendance_Data[[#This Row],[Date]], "mmm")</f>
        <v>May</v>
      </c>
      <c r="F33" s="20" t="str">
        <f>TEXT(Attendance_Data[[#This Row],[Date]], "dddd")</f>
        <v>Saturday</v>
      </c>
      <c r="G33" s="20">
        <f t="shared" si="0"/>
        <v>1</v>
      </c>
    </row>
    <row r="34" spans="1:7" ht="19.5" x14ac:dyDescent="0.25">
      <c r="A34" s="20" t="s">
        <v>12</v>
      </c>
      <c r="B34" s="20" t="s">
        <v>23</v>
      </c>
      <c r="C34" s="20" t="s">
        <v>24</v>
      </c>
      <c r="D34" s="20" t="s">
        <v>7</v>
      </c>
      <c r="E34" s="20" t="str">
        <f>TEXT(Attendance_Data[[#This Row],[Date]], "mmm")</f>
        <v>May</v>
      </c>
      <c r="F34" s="20" t="str">
        <f>TEXT(Attendance_Data[[#This Row],[Date]], "dddd")</f>
        <v>Monday</v>
      </c>
      <c r="G34" s="20">
        <f t="shared" si="0"/>
        <v>1</v>
      </c>
    </row>
    <row r="35" spans="1:7" ht="19.5" x14ac:dyDescent="0.25">
      <c r="A35" s="20" t="s">
        <v>15</v>
      </c>
      <c r="B35" s="20" t="s">
        <v>11</v>
      </c>
      <c r="C35" s="20" t="s">
        <v>6</v>
      </c>
      <c r="D35" s="20" t="s">
        <v>37</v>
      </c>
      <c r="E35" s="20" t="str">
        <f>TEXT(Attendance_Data[[#This Row],[Date]], "mmm")</f>
        <v>May</v>
      </c>
      <c r="F35" s="20" t="str">
        <f>TEXT(Attendance_Data[[#This Row],[Date]], "dddd")</f>
        <v>Sunday</v>
      </c>
      <c r="G35" s="20">
        <f t="shared" si="0"/>
        <v>0</v>
      </c>
    </row>
    <row r="36" spans="1:7" ht="19.5" x14ac:dyDescent="0.25">
      <c r="A36" s="20" t="s">
        <v>38</v>
      </c>
      <c r="B36" s="20" t="s">
        <v>11</v>
      </c>
      <c r="C36" s="20" t="s">
        <v>6</v>
      </c>
      <c r="D36" s="20" t="s">
        <v>7</v>
      </c>
      <c r="E36" s="20" t="str">
        <f>TEXT(Attendance_Data[[#This Row],[Date]], "mmm")</f>
        <v>May</v>
      </c>
      <c r="F36" s="20" t="str">
        <f>TEXT(Attendance_Data[[#This Row],[Date]], "dddd")</f>
        <v>Thursday</v>
      </c>
      <c r="G36" s="20">
        <f t="shared" si="0"/>
        <v>1</v>
      </c>
    </row>
    <row r="37" spans="1:7" ht="19.5" x14ac:dyDescent="0.25">
      <c r="A37" s="20" t="s">
        <v>36</v>
      </c>
      <c r="B37" s="20" t="s">
        <v>13</v>
      </c>
      <c r="C37" s="20" t="s">
        <v>14</v>
      </c>
      <c r="D37" s="20" t="s">
        <v>7</v>
      </c>
      <c r="E37" s="20" t="str">
        <f>TEXT(Attendance_Data[[#This Row],[Date]], "mmm")</f>
        <v>May</v>
      </c>
      <c r="F37" s="20" t="str">
        <f>TEXT(Attendance_Data[[#This Row],[Date]], "dddd")</f>
        <v>Saturday</v>
      </c>
      <c r="G37" s="20">
        <f t="shared" si="0"/>
        <v>1</v>
      </c>
    </row>
    <row r="38" spans="1:7" ht="19.5" x14ac:dyDescent="0.25">
      <c r="A38" s="20" t="s">
        <v>25</v>
      </c>
      <c r="B38" s="20" t="s">
        <v>11</v>
      </c>
      <c r="C38" s="20" t="s">
        <v>6</v>
      </c>
      <c r="D38" s="20" t="s">
        <v>7</v>
      </c>
      <c r="E38" s="20" t="str">
        <f>TEXT(Attendance_Data[[#This Row],[Date]], "mmm")</f>
        <v>May</v>
      </c>
      <c r="F38" s="20" t="str">
        <f>TEXT(Attendance_Data[[#This Row],[Date]], "dddd")</f>
        <v>Sunday</v>
      </c>
      <c r="G38" s="20">
        <f t="shared" si="0"/>
        <v>1</v>
      </c>
    </row>
    <row r="39" spans="1:7" ht="19.5" x14ac:dyDescent="0.25">
      <c r="A39" s="20" t="s">
        <v>15</v>
      </c>
      <c r="B39" s="20" t="s">
        <v>9</v>
      </c>
      <c r="C39" s="20" t="s">
        <v>2</v>
      </c>
      <c r="D39" s="20" t="s">
        <v>7</v>
      </c>
      <c r="E39" s="20" t="str">
        <f>TEXT(Attendance_Data[[#This Row],[Date]], "mmm")</f>
        <v>May</v>
      </c>
      <c r="F39" s="20" t="str">
        <f>TEXT(Attendance_Data[[#This Row],[Date]], "dddd")</f>
        <v>Sunday</v>
      </c>
      <c r="G39" s="20">
        <f t="shared" si="0"/>
        <v>1</v>
      </c>
    </row>
    <row r="40" spans="1:7" ht="19.5" x14ac:dyDescent="0.25">
      <c r="A40" s="20" t="s">
        <v>35</v>
      </c>
      <c r="B40" s="20" t="s">
        <v>27</v>
      </c>
      <c r="C40" s="20" t="s">
        <v>28</v>
      </c>
      <c r="D40" s="20" t="s">
        <v>7</v>
      </c>
      <c r="E40" s="20" t="str">
        <f>TEXT(Attendance_Data[[#This Row],[Date]], "mmm")</f>
        <v>May</v>
      </c>
      <c r="F40" s="20" t="str">
        <f>TEXT(Attendance_Data[[#This Row],[Date]], "dddd")</f>
        <v>Wednesday</v>
      </c>
      <c r="G40" s="20">
        <f t="shared" si="0"/>
        <v>1</v>
      </c>
    </row>
    <row r="41" spans="1:7" ht="19.5" x14ac:dyDescent="0.25">
      <c r="A41" s="20" t="s">
        <v>8</v>
      </c>
      <c r="B41" s="20" t="s">
        <v>1</v>
      </c>
      <c r="C41" s="20" t="s">
        <v>2</v>
      </c>
      <c r="D41" s="20" t="s">
        <v>20</v>
      </c>
      <c r="E41" s="20" t="str">
        <f>TEXT(Attendance_Data[[#This Row],[Date]], "mmm")</f>
        <v>May</v>
      </c>
      <c r="F41" s="20" t="str">
        <f>TEXT(Attendance_Data[[#This Row],[Date]], "dddd")</f>
        <v>Wednesday</v>
      </c>
      <c r="G41" s="20">
        <f t="shared" si="0"/>
        <v>0</v>
      </c>
    </row>
    <row r="42" spans="1:7" ht="19.5" x14ac:dyDescent="0.25">
      <c r="A42" s="20" t="s">
        <v>39</v>
      </c>
      <c r="B42" s="20" t="s">
        <v>27</v>
      </c>
      <c r="C42" s="20" t="s">
        <v>28</v>
      </c>
      <c r="D42" s="20" t="s">
        <v>3</v>
      </c>
      <c r="E42" s="20" t="str">
        <f>TEXT(Attendance_Data[[#This Row],[Date]], "mmm")</f>
        <v>May</v>
      </c>
      <c r="F42" s="20" t="str">
        <f>TEXT(Attendance_Data[[#This Row],[Date]], "dddd")</f>
        <v>Thursday</v>
      </c>
      <c r="G42" s="20">
        <f t="shared" si="0"/>
        <v>1</v>
      </c>
    </row>
    <row r="43" spans="1:7" ht="19.5" x14ac:dyDescent="0.25">
      <c r="A43" s="20" t="s">
        <v>35</v>
      </c>
      <c r="B43" s="20" t="s">
        <v>13</v>
      </c>
      <c r="C43" s="20" t="s">
        <v>14</v>
      </c>
      <c r="D43" s="20" t="s">
        <v>7</v>
      </c>
      <c r="E43" s="20" t="str">
        <f>TEXT(Attendance_Data[[#This Row],[Date]], "mmm")</f>
        <v>May</v>
      </c>
      <c r="F43" s="20" t="str">
        <f>TEXT(Attendance_Data[[#This Row],[Date]], "dddd")</f>
        <v>Wednesday</v>
      </c>
      <c r="G43" s="20">
        <f t="shared" si="0"/>
        <v>1</v>
      </c>
    </row>
    <row r="44" spans="1:7" ht="19.5" x14ac:dyDescent="0.25">
      <c r="A44" s="20" t="s">
        <v>39</v>
      </c>
      <c r="B44" s="20" t="s">
        <v>11</v>
      </c>
      <c r="C44" s="20" t="s">
        <v>6</v>
      </c>
      <c r="D44" s="20" t="s">
        <v>7</v>
      </c>
      <c r="E44" s="20" t="str">
        <f>TEXT(Attendance_Data[[#This Row],[Date]], "mmm")</f>
        <v>May</v>
      </c>
      <c r="F44" s="20" t="str">
        <f>TEXT(Attendance_Data[[#This Row],[Date]], "dddd")</f>
        <v>Thursday</v>
      </c>
      <c r="G44" s="20">
        <f t="shared" si="0"/>
        <v>1</v>
      </c>
    </row>
    <row r="45" spans="1:7" ht="19.5" x14ac:dyDescent="0.25">
      <c r="A45" s="20" t="s">
        <v>40</v>
      </c>
      <c r="B45" s="20" t="s">
        <v>9</v>
      </c>
      <c r="C45" s="20" t="s">
        <v>2</v>
      </c>
      <c r="D45" s="20" t="s">
        <v>7</v>
      </c>
      <c r="E45" s="20" t="str">
        <f>TEXT(Attendance_Data[[#This Row],[Date]], "mmm")</f>
        <v>May</v>
      </c>
      <c r="F45" s="20" t="str">
        <f>TEXT(Attendance_Data[[#This Row],[Date]], "dddd")</f>
        <v>Friday</v>
      </c>
      <c r="G45" s="20">
        <f t="shared" si="0"/>
        <v>1</v>
      </c>
    </row>
    <row r="46" spans="1:7" ht="19.5" x14ac:dyDescent="0.25">
      <c r="A46" s="20" t="s">
        <v>10</v>
      </c>
      <c r="B46" s="20" t="s">
        <v>27</v>
      </c>
      <c r="C46" s="20" t="s">
        <v>28</v>
      </c>
      <c r="D46" s="20" t="s">
        <v>7</v>
      </c>
      <c r="E46" s="20" t="str">
        <f>TEXT(Attendance_Data[[#This Row],[Date]], "mmm")</f>
        <v>May</v>
      </c>
      <c r="F46" s="20" t="str">
        <f>TEXT(Attendance_Data[[#This Row],[Date]], "dddd")</f>
        <v>Friday</v>
      </c>
      <c r="G46" s="20">
        <f t="shared" si="0"/>
        <v>1</v>
      </c>
    </row>
    <row r="47" spans="1:7" ht="19.5" x14ac:dyDescent="0.25">
      <c r="A47" s="20" t="s">
        <v>33</v>
      </c>
      <c r="B47" s="20" t="s">
        <v>1</v>
      </c>
      <c r="C47" s="20" t="s">
        <v>2</v>
      </c>
      <c r="D47" s="20" t="s">
        <v>7</v>
      </c>
      <c r="E47" s="20" t="str">
        <f>TEXT(Attendance_Data[[#This Row],[Date]], "mmm")</f>
        <v>May</v>
      </c>
      <c r="F47" s="20" t="str">
        <f>TEXT(Attendance_Data[[#This Row],[Date]], "dddd")</f>
        <v>Wednesday</v>
      </c>
      <c r="G47" s="20">
        <f t="shared" si="0"/>
        <v>1</v>
      </c>
    </row>
    <row r="48" spans="1:7" ht="19.5" x14ac:dyDescent="0.25">
      <c r="A48" s="20" t="s">
        <v>21</v>
      </c>
      <c r="B48" s="20" t="s">
        <v>23</v>
      </c>
      <c r="C48" s="20" t="s">
        <v>24</v>
      </c>
      <c r="D48" s="20" t="s">
        <v>3</v>
      </c>
      <c r="E48" s="20" t="str">
        <f>TEXT(Attendance_Data[[#This Row],[Date]], "mmm")</f>
        <v>May</v>
      </c>
      <c r="F48" s="20" t="str">
        <f>TEXT(Attendance_Data[[#This Row],[Date]], "dddd")</f>
        <v>Friday</v>
      </c>
      <c r="G48" s="20">
        <f t="shared" si="0"/>
        <v>1</v>
      </c>
    </row>
    <row r="49" spans="1:7" ht="19.5" x14ac:dyDescent="0.25">
      <c r="A49" s="20" t="s">
        <v>18</v>
      </c>
      <c r="B49" s="20" t="s">
        <v>13</v>
      </c>
      <c r="C49" s="20" t="s">
        <v>14</v>
      </c>
      <c r="D49" s="20" t="s">
        <v>3</v>
      </c>
      <c r="E49" s="20" t="str">
        <f>TEXT(Attendance_Data[[#This Row],[Date]], "mmm")</f>
        <v>May</v>
      </c>
      <c r="F49" s="20" t="str">
        <f>TEXT(Attendance_Data[[#This Row],[Date]], "dddd")</f>
        <v>Tuesday</v>
      </c>
      <c r="G49" s="20">
        <f t="shared" si="0"/>
        <v>1</v>
      </c>
    </row>
    <row r="50" spans="1:7" ht="19.5" x14ac:dyDescent="0.25">
      <c r="A50" s="20" t="s">
        <v>41</v>
      </c>
      <c r="B50" s="20" t="s">
        <v>9</v>
      </c>
      <c r="C50" s="20" t="s">
        <v>2</v>
      </c>
      <c r="D50" s="20" t="s">
        <v>7</v>
      </c>
      <c r="E50" s="20" t="str">
        <f>TEXT(Attendance_Data[[#This Row],[Date]], "mmm")</f>
        <v>May</v>
      </c>
      <c r="F50" s="20" t="str">
        <f>TEXT(Attendance_Data[[#This Row],[Date]], "dddd")</f>
        <v>Monday</v>
      </c>
      <c r="G50" s="20">
        <f t="shared" si="0"/>
        <v>1</v>
      </c>
    </row>
    <row r="51" spans="1:7" ht="19.5" x14ac:dyDescent="0.25">
      <c r="A51" s="20" t="s">
        <v>8</v>
      </c>
      <c r="B51" s="20" t="s">
        <v>23</v>
      </c>
      <c r="C51" s="20" t="s">
        <v>24</v>
      </c>
      <c r="D51" s="20" t="s">
        <v>7</v>
      </c>
      <c r="E51" s="20" t="str">
        <f>TEXT(Attendance_Data[[#This Row],[Date]], "mmm")</f>
        <v>May</v>
      </c>
      <c r="F51" s="20" t="str">
        <f>TEXT(Attendance_Data[[#This Row],[Date]], "dddd")</f>
        <v>Wednesday</v>
      </c>
      <c r="G51" s="20">
        <f t="shared" si="0"/>
        <v>1</v>
      </c>
    </row>
    <row r="52" spans="1:7" ht="19.5" x14ac:dyDescent="0.25">
      <c r="A52" s="20" t="s">
        <v>32</v>
      </c>
      <c r="B52" s="20" t="s">
        <v>1</v>
      </c>
      <c r="C52" s="20" t="s">
        <v>2</v>
      </c>
      <c r="D52" s="20" t="s">
        <v>7</v>
      </c>
      <c r="E52" s="20" t="str">
        <f>TEXT(Attendance_Data[[#This Row],[Date]], "mmm")</f>
        <v>May</v>
      </c>
      <c r="F52" s="20" t="str">
        <f>TEXT(Attendance_Data[[#This Row],[Date]], "dddd")</f>
        <v>Tuesday</v>
      </c>
      <c r="G52" s="20">
        <f t="shared" si="0"/>
        <v>1</v>
      </c>
    </row>
    <row r="53" spans="1:7" ht="19.5" x14ac:dyDescent="0.25">
      <c r="A53" s="20" t="s">
        <v>0</v>
      </c>
      <c r="B53" s="20" t="s">
        <v>1</v>
      </c>
      <c r="C53" s="20" t="s">
        <v>2</v>
      </c>
      <c r="D53" s="20" t="s">
        <v>7</v>
      </c>
      <c r="E53" s="20" t="str">
        <f>TEXT(Attendance_Data[[#This Row],[Date]], "mmm")</f>
        <v>May</v>
      </c>
      <c r="F53" s="20" t="str">
        <f>TEXT(Attendance_Data[[#This Row],[Date]], "dddd")</f>
        <v>Wednesday</v>
      </c>
      <c r="G53" s="20">
        <f t="shared" si="0"/>
        <v>1</v>
      </c>
    </row>
    <row r="54" spans="1:7" ht="19.5" x14ac:dyDescent="0.25">
      <c r="A54" s="20" t="s">
        <v>19</v>
      </c>
      <c r="B54" s="20" t="s">
        <v>27</v>
      </c>
      <c r="C54" s="20" t="s">
        <v>28</v>
      </c>
      <c r="D54" s="20" t="s">
        <v>7</v>
      </c>
      <c r="E54" s="20" t="str">
        <f>TEXT(Attendance_Data[[#This Row],[Date]], "mmm")</f>
        <v>May</v>
      </c>
      <c r="F54" s="20" t="str">
        <f>TEXT(Attendance_Data[[#This Row],[Date]], "dddd")</f>
        <v>Saturday</v>
      </c>
      <c r="G54" s="20">
        <f t="shared" si="0"/>
        <v>1</v>
      </c>
    </row>
    <row r="55" spans="1:7" ht="19.5" x14ac:dyDescent="0.25">
      <c r="A55" s="20" t="s">
        <v>42</v>
      </c>
      <c r="B55" s="20" t="s">
        <v>43</v>
      </c>
      <c r="C55" s="20" t="s">
        <v>28</v>
      </c>
      <c r="D55" s="20" t="s">
        <v>3</v>
      </c>
      <c r="E55" s="20" t="str">
        <f>TEXT(Attendance_Data[[#This Row],[Date]], "mmm")</f>
        <v>May</v>
      </c>
      <c r="F55" s="20" t="str">
        <f>TEXT(Attendance_Data[[#This Row],[Date]], "dddd")</f>
        <v>Tuesday</v>
      </c>
      <c r="G55" s="20">
        <f t="shared" si="0"/>
        <v>1</v>
      </c>
    </row>
    <row r="56" spans="1:7" ht="19.5" x14ac:dyDescent="0.25">
      <c r="A56" s="20" t="s">
        <v>44</v>
      </c>
      <c r="B56" s="20" t="s">
        <v>11</v>
      </c>
      <c r="C56" s="20" t="s">
        <v>6</v>
      </c>
      <c r="D56" s="20" t="s">
        <v>7</v>
      </c>
      <c r="E56" s="20" t="str">
        <f>TEXT(Attendance_Data[[#This Row],[Date]], "mmm")</f>
        <v>May</v>
      </c>
      <c r="F56" s="20" t="str">
        <f>TEXT(Attendance_Data[[#This Row],[Date]], "dddd")</f>
        <v>Saturday</v>
      </c>
      <c r="G56" s="20">
        <f t="shared" si="0"/>
        <v>1</v>
      </c>
    </row>
    <row r="57" spans="1:7" ht="19.5" x14ac:dyDescent="0.25">
      <c r="A57" s="20" t="s">
        <v>10</v>
      </c>
      <c r="B57" s="20" t="s">
        <v>11</v>
      </c>
      <c r="C57" s="20" t="s">
        <v>6</v>
      </c>
      <c r="D57" s="20" t="s">
        <v>20</v>
      </c>
      <c r="E57" s="20" t="str">
        <f>TEXT(Attendance_Data[[#This Row],[Date]], "mmm")</f>
        <v>May</v>
      </c>
      <c r="F57" s="20" t="str">
        <f>TEXT(Attendance_Data[[#This Row],[Date]], "dddd")</f>
        <v>Friday</v>
      </c>
      <c r="G57" s="20">
        <f t="shared" si="0"/>
        <v>0</v>
      </c>
    </row>
    <row r="58" spans="1:7" ht="19.5" x14ac:dyDescent="0.25">
      <c r="A58" s="20" t="s">
        <v>12</v>
      </c>
      <c r="B58" s="20" t="s">
        <v>11</v>
      </c>
      <c r="C58" s="20" t="s">
        <v>6</v>
      </c>
      <c r="D58" s="20" t="s">
        <v>7</v>
      </c>
      <c r="E58" s="20" t="str">
        <f>TEXT(Attendance_Data[[#This Row],[Date]], "mmm")</f>
        <v>May</v>
      </c>
      <c r="F58" s="20" t="str">
        <f>TEXT(Attendance_Data[[#This Row],[Date]], "dddd")</f>
        <v>Monday</v>
      </c>
      <c r="G58" s="20">
        <f t="shared" si="0"/>
        <v>1</v>
      </c>
    </row>
    <row r="59" spans="1:7" ht="19.5" x14ac:dyDescent="0.25">
      <c r="A59" s="20" t="s">
        <v>29</v>
      </c>
      <c r="B59" s="20" t="s">
        <v>11</v>
      </c>
      <c r="C59" s="20" t="s">
        <v>6</v>
      </c>
      <c r="D59" s="20" t="s">
        <v>7</v>
      </c>
      <c r="E59" s="20" t="str">
        <f>TEXT(Attendance_Data[[#This Row],[Date]], "mmm")</f>
        <v>May</v>
      </c>
      <c r="F59" s="20" t="str">
        <f>TEXT(Attendance_Data[[#This Row],[Date]], "dddd")</f>
        <v>Monday</v>
      </c>
      <c r="G59" s="20">
        <f t="shared" si="0"/>
        <v>1</v>
      </c>
    </row>
    <row r="60" spans="1:7" ht="19.5" x14ac:dyDescent="0.25">
      <c r="A60" s="20" t="s">
        <v>22</v>
      </c>
      <c r="B60" s="20" t="s">
        <v>13</v>
      </c>
      <c r="C60" s="20" t="s">
        <v>14</v>
      </c>
      <c r="D60" s="20" t="s">
        <v>3</v>
      </c>
      <c r="E60" s="20" t="str">
        <f>TEXT(Attendance_Data[[#This Row],[Date]], "mmm")</f>
        <v>May</v>
      </c>
      <c r="F60" s="20" t="str">
        <f>TEXT(Attendance_Data[[#This Row],[Date]], "dddd")</f>
        <v>Friday</v>
      </c>
      <c r="G60" s="20">
        <f t="shared" si="0"/>
        <v>1</v>
      </c>
    </row>
    <row r="61" spans="1:7" ht="19.5" x14ac:dyDescent="0.25">
      <c r="A61" s="20" t="s">
        <v>19</v>
      </c>
      <c r="B61" s="20" t="s">
        <v>23</v>
      </c>
      <c r="C61" s="20" t="s">
        <v>24</v>
      </c>
      <c r="D61" s="20" t="s">
        <v>37</v>
      </c>
      <c r="E61" s="20" t="str">
        <f>TEXT(Attendance_Data[[#This Row],[Date]], "mmm")</f>
        <v>May</v>
      </c>
      <c r="F61" s="20" t="str">
        <f>TEXT(Attendance_Data[[#This Row],[Date]], "dddd")</f>
        <v>Saturday</v>
      </c>
      <c r="G61" s="20">
        <f t="shared" si="0"/>
        <v>0</v>
      </c>
    </row>
    <row r="62" spans="1:7" ht="19.5" x14ac:dyDescent="0.25">
      <c r="A62" s="20" t="s">
        <v>31</v>
      </c>
      <c r="B62" s="20" t="s">
        <v>13</v>
      </c>
      <c r="C62" s="20" t="s">
        <v>14</v>
      </c>
      <c r="D62" s="20" t="s">
        <v>7</v>
      </c>
      <c r="E62" s="20" t="str">
        <f>TEXT(Attendance_Data[[#This Row],[Date]], "mmm")</f>
        <v>May</v>
      </c>
      <c r="F62" s="20" t="str">
        <f>TEXT(Attendance_Data[[#This Row],[Date]], "dddd")</f>
        <v>Tuesday</v>
      </c>
      <c r="G62" s="20">
        <f t="shared" si="0"/>
        <v>1</v>
      </c>
    </row>
    <row r="63" spans="1:7" ht="19.5" x14ac:dyDescent="0.25">
      <c r="A63" s="20" t="s">
        <v>0</v>
      </c>
      <c r="B63" s="20" t="s">
        <v>43</v>
      </c>
      <c r="C63" s="20" t="s">
        <v>28</v>
      </c>
      <c r="D63" s="20" t="s">
        <v>7</v>
      </c>
      <c r="E63" s="20" t="str">
        <f>TEXT(Attendance_Data[[#This Row],[Date]], "mmm")</f>
        <v>May</v>
      </c>
      <c r="F63" s="20" t="str">
        <f>TEXT(Attendance_Data[[#This Row],[Date]], "dddd")</f>
        <v>Wednesday</v>
      </c>
      <c r="G63" s="20">
        <f t="shared" si="0"/>
        <v>1</v>
      </c>
    </row>
    <row r="64" spans="1:7" ht="19.5" x14ac:dyDescent="0.25">
      <c r="A64" s="20" t="s">
        <v>40</v>
      </c>
      <c r="B64" s="20" t="s">
        <v>1</v>
      </c>
      <c r="C64" s="20" t="s">
        <v>2</v>
      </c>
      <c r="D64" s="20" t="s">
        <v>7</v>
      </c>
      <c r="E64" s="20" t="str">
        <f>TEXT(Attendance_Data[[#This Row],[Date]], "mmm")</f>
        <v>May</v>
      </c>
      <c r="F64" s="20" t="str">
        <f>TEXT(Attendance_Data[[#This Row],[Date]], "dddd")</f>
        <v>Friday</v>
      </c>
      <c r="G64" s="20">
        <f t="shared" si="0"/>
        <v>1</v>
      </c>
    </row>
    <row r="65" spans="1:7" ht="19.5" x14ac:dyDescent="0.25">
      <c r="A65" s="20" t="s">
        <v>17</v>
      </c>
      <c r="B65" s="20" t="s">
        <v>9</v>
      </c>
      <c r="C65" s="20" t="s">
        <v>2</v>
      </c>
      <c r="D65" s="20" t="s">
        <v>20</v>
      </c>
      <c r="E65" s="20" t="str">
        <f>TEXT(Attendance_Data[[#This Row],[Date]], "mmm")</f>
        <v>May</v>
      </c>
      <c r="F65" s="20" t="str">
        <f>TEXT(Attendance_Data[[#This Row],[Date]], "dddd")</f>
        <v>Friday</v>
      </c>
      <c r="G65" s="20">
        <f t="shared" si="0"/>
        <v>0</v>
      </c>
    </row>
    <row r="66" spans="1:7" ht="19.5" x14ac:dyDescent="0.25">
      <c r="A66" s="20" t="s">
        <v>18</v>
      </c>
      <c r="B66" s="20" t="s">
        <v>43</v>
      </c>
      <c r="C66" s="20" t="s">
        <v>28</v>
      </c>
      <c r="D66" s="20" t="s">
        <v>37</v>
      </c>
      <c r="E66" s="20" t="str">
        <f>TEXT(Attendance_Data[[#This Row],[Date]], "mmm")</f>
        <v>May</v>
      </c>
      <c r="F66" s="20" t="str">
        <f>TEXT(Attendance_Data[[#This Row],[Date]], "dddd")</f>
        <v>Tuesday</v>
      </c>
      <c r="G66" s="20">
        <f t="shared" ref="G66:G129" si="1">IF(OR(D66="Present", D66="Late"),1,0)</f>
        <v>0</v>
      </c>
    </row>
    <row r="67" spans="1:7" ht="19.5" x14ac:dyDescent="0.25">
      <c r="A67" s="20" t="s">
        <v>36</v>
      </c>
      <c r="B67" s="20" t="s">
        <v>23</v>
      </c>
      <c r="C67" s="20" t="s">
        <v>24</v>
      </c>
      <c r="D67" s="20" t="s">
        <v>20</v>
      </c>
      <c r="E67" s="20" t="str">
        <f>TEXT(Attendance_Data[[#This Row],[Date]], "mmm")</f>
        <v>May</v>
      </c>
      <c r="F67" s="20" t="str">
        <f>TEXT(Attendance_Data[[#This Row],[Date]], "dddd")</f>
        <v>Saturday</v>
      </c>
      <c r="G67" s="20">
        <f t="shared" si="1"/>
        <v>0</v>
      </c>
    </row>
    <row r="68" spans="1:7" ht="19.5" x14ac:dyDescent="0.25">
      <c r="A68" s="20" t="s">
        <v>10</v>
      </c>
      <c r="B68" s="20" t="s">
        <v>9</v>
      </c>
      <c r="C68" s="20" t="s">
        <v>2</v>
      </c>
      <c r="D68" s="20" t="s">
        <v>7</v>
      </c>
      <c r="E68" s="20" t="str">
        <f>TEXT(Attendance_Data[[#This Row],[Date]], "mmm")</f>
        <v>May</v>
      </c>
      <c r="F68" s="20" t="str">
        <f>TEXT(Attendance_Data[[#This Row],[Date]], "dddd")</f>
        <v>Friday</v>
      </c>
      <c r="G68" s="20">
        <f t="shared" si="1"/>
        <v>1</v>
      </c>
    </row>
    <row r="69" spans="1:7" ht="19.5" x14ac:dyDescent="0.25">
      <c r="A69" s="20" t="s">
        <v>19</v>
      </c>
      <c r="B69" s="20" t="s">
        <v>23</v>
      </c>
      <c r="C69" s="20" t="s">
        <v>24</v>
      </c>
      <c r="D69" s="20" t="s">
        <v>7</v>
      </c>
      <c r="E69" s="20" t="str">
        <f>TEXT(Attendance_Data[[#This Row],[Date]], "mmm")</f>
        <v>May</v>
      </c>
      <c r="F69" s="20" t="str">
        <f>TEXT(Attendance_Data[[#This Row],[Date]], "dddd")</f>
        <v>Saturday</v>
      </c>
      <c r="G69" s="20">
        <f t="shared" si="1"/>
        <v>1</v>
      </c>
    </row>
    <row r="70" spans="1:7" ht="19.5" x14ac:dyDescent="0.25">
      <c r="A70" s="20" t="s">
        <v>15</v>
      </c>
      <c r="B70" s="20" t="s">
        <v>27</v>
      </c>
      <c r="C70" s="20" t="s">
        <v>28</v>
      </c>
      <c r="D70" s="20" t="s">
        <v>37</v>
      </c>
      <c r="E70" s="20" t="str">
        <f>TEXT(Attendance_Data[[#This Row],[Date]], "mmm")</f>
        <v>May</v>
      </c>
      <c r="F70" s="20" t="str">
        <f>TEXT(Attendance_Data[[#This Row],[Date]], "dddd")</f>
        <v>Sunday</v>
      </c>
      <c r="G70" s="20">
        <f t="shared" si="1"/>
        <v>0</v>
      </c>
    </row>
    <row r="71" spans="1:7" ht="19.5" x14ac:dyDescent="0.25">
      <c r="A71" s="20" t="s">
        <v>33</v>
      </c>
      <c r="B71" s="20" t="s">
        <v>5</v>
      </c>
      <c r="C71" s="20" t="s">
        <v>6</v>
      </c>
      <c r="D71" s="20" t="s">
        <v>7</v>
      </c>
      <c r="E71" s="20" t="str">
        <f>TEXT(Attendance_Data[[#This Row],[Date]], "mmm")</f>
        <v>May</v>
      </c>
      <c r="F71" s="20" t="str">
        <f>TEXT(Attendance_Data[[#This Row],[Date]], "dddd")</f>
        <v>Wednesday</v>
      </c>
      <c r="G71" s="20">
        <f t="shared" si="1"/>
        <v>1</v>
      </c>
    </row>
    <row r="72" spans="1:7" ht="19.5" x14ac:dyDescent="0.25">
      <c r="A72" s="20" t="s">
        <v>18</v>
      </c>
      <c r="B72" s="20" t="s">
        <v>5</v>
      </c>
      <c r="C72" s="20" t="s">
        <v>6</v>
      </c>
      <c r="D72" s="20" t="s">
        <v>7</v>
      </c>
      <c r="E72" s="20" t="str">
        <f>TEXT(Attendance_Data[[#This Row],[Date]], "mmm")</f>
        <v>May</v>
      </c>
      <c r="F72" s="20" t="str">
        <f>TEXT(Attendance_Data[[#This Row],[Date]], "dddd")</f>
        <v>Tuesday</v>
      </c>
      <c r="G72" s="20">
        <f t="shared" si="1"/>
        <v>1</v>
      </c>
    </row>
    <row r="73" spans="1:7" ht="19.5" x14ac:dyDescent="0.25">
      <c r="A73" s="20" t="s">
        <v>45</v>
      </c>
      <c r="B73" s="20" t="s">
        <v>13</v>
      </c>
      <c r="C73" s="20" t="s">
        <v>14</v>
      </c>
      <c r="D73" s="20" t="s">
        <v>7</v>
      </c>
      <c r="E73" s="20" t="str">
        <f>TEXT(Attendance_Data[[#This Row],[Date]], "mmm")</f>
        <v>May</v>
      </c>
      <c r="F73" s="20" t="str">
        <f>TEXT(Attendance_Data[[#This Row],[Date]], "dddd")</f>
        <v>Monday</v>
      </c>
      <c r="G73" s="20">
        <f t="shared" si="1"/>
        <v>1</v>
      </c>
    </row>
    <row r="74" spans="1:7" ht="19.5" x14ac:dyDescent="0.25">
      <c r="A74" s="20" t="s">
        <v>31</v>
      </c>
      <c r="B74" s="20" t="s">
        <v>9</v>
      </c>
      <c r="C74" s="20" t="s">
        <v>2</v>
      </c>
      <c r="D74" s="20" t="s">
        <v>7</v>
      </c>
      <c r="E74" s="20" t="str">
        <f>TEXT(Attendance_Data[[#This Row],[Date]], "mmm")</f>
        <v>May</v>
      </c>
      <c r="F74" s="20" t="str">
        <f>TEXT(Attendance_Data[[#This Row],[Date]], "dddd")</f>
        <v>Tuesday</v>
      </c>
      <c r="G74" s="20">
        <f t="shared" si="1"/>
        <v>1</v>
      </c>
    </row>
    <row r="75" spans="1:7" ht="19.5" x14ac:dyDescent="0.25">
      <c r="A75" s="20" t="s">
        <v>15</v>
      </c>
      <c r="B75" s="20" t="s">
        <v>23</v>
      </c>
      <c r="C75" s="20" t="s">
        <v>24</v>
      </c>
      <c r="D75" s="20" t="s">
        <v>20</v>
      </c>
      <c r="E75" s="20" t="str">
        <f>TEXT(Attendance_Data[[#This Row],[Date]], "mmm")</f>
        <v>May</v>
      </c>
      <c r="F75" s="20" t="str">
        <f>TEXT(Attendance_Data[[#This Row],[Date]], "dddd")</f>
        <v>Sunday</v>
      </c>
      <c r="G75" s="20">
        <f t="shared" si="1"/>
        <v>0</v>
      </c>
    </row>
    <row r="76" spans="1:7" ht="19.5" x14ac:dyDescent="0.25">
      <c r="A76" s="20" t="s">
        <v>4</v>
      </c>
      <c r="B76" s="20" t="s">
        <v>23</v>
      </c>
      <c r="C76" s="20" t="s">
        <v>24</v>
      </c>
      <c r="D76" s="20" t="s">
        <v>7</v>
      </c>
      <c r="E76" s="20" t="str">
        <f>TEXT(Attendance_Data[[#This Row],[Date]], "mmm")</f>
        <v>May</v>
      </c>
      <c r="F76" s="20" t="str">
        <f>TEXT(Attendance_Data[[#This Row],[Date]], "dddd")</f>
        <v>Thursday</v>
      </c>
      <c r="G76" s="20">
        <f t="shared" si="1"/>
        <v>1</v>
      </c>
    </row>
    <row r="77" spans="1:7" ht="19.5" x14ac:dyDescent="0.25">
      <c r="A77" s="20" t="s">
        <v>46</v>
      </c>
      <c r="B77" s="20" t="s">
        <v>23</v>
      </c>
      <c r="C77" s="20" t="s">
        <v>24</v>
      </c>
      <c r="D77" s="20" t="s">
        <v>20</v>
      </c>
      <c r="E77" s="20" t="str">
        <f>TEXT(Attendance_Data[[#This Row],[Date]], "mmm")</f>
        <v>May</v>
      </c>
      <c r="F77" s="20" t="str">
        <f>TEXT(Attendance_Data[[#This Row],[Date]], "dddd")</f>
        <v>Saturday</v>
      </c>
      <c r="G77" s="20">
        <f t="shared" si="1"/>
        <v>0</v>
      </c>
    </row>
    <row r="78" spans="1:7" ht="19.5" x14ac:dyDescent="0.25">
      <c r="A78" s="20" t="s">
        <v>44</v>
      </c>
      <c r="B78" s="20" t="s">
        <v>16</v>
      </c>
      <c r="C78" s="20" t="s">
        <v>14</v>
      </c>
      <c r="D78" s="20" t="s">
        <v>37</v>
      </c>
      <c r="E78" s="20" t="str">
        <f>TEXT(Attendance_Data[[#This Row],[Date]], "mmm")</f>
        <v>May</v>
      </c>
      <c r="F78" s="20" t="str">
        <f>TEXT(Attendance_Data[[#This Row],[Date]], "dddd")</f>
        <v>Saturday</v>
      </c>
      <c r="G78" s="20">
        <f t="shared" si="1"/>
        <v>0</v>
      </c>
    </row>
    <row r="79" spans="1:7" ht="19.5" x14ac:dyDescent="0.25">
      <c r="A79" s="20" t="s">
        <v>35</v>
      </c>
      <c r="B79" s="20" t="s">
        <v>43</v>
      </c>
      <c r="C79" s="20" t="s">
        <v>28</v>
      </c>
      <c r="D79" s="20" t="s">
        <v>7</v>
      </c>
      <c r="E79" s="20" t="str">
        <f>TEXT(Attendance_Data[[#This Row],[Date]], "mmm")</f>
        <v>May</v>
      </c>
      <c r="F79" s="20" t="str">
        <f>TEXT(Attendance_Data[[#This Row],[Date]], "dddd")</f>
        <v>Wednesday</v>
      </c>
      <c r="G79" s="20">
        <f t="shared" si="1"/>
        <v>1</v>
      </c>
    </row>
    <row r="80" spans="1:7" ht="19.5" x14ac:dyDescent="0.25">
      <c r="A80" s="20" t="s">
        <v>26</v>
      </c>
      <c r="B80" s="20" t="s">
        <v>9</v>
      </c>
      <c r="C80" s="20" t="s">
        <v>2</v>
      </c>
      <c r="D80" s="20" t="s">
        <v>37</v>
      </c>
      <c r="E80" s="20" t="str">
        <f>TEXT(Attendance_Data[[#This Row],[Date]], "mmm")</f>
        <v>May</v>
      </c>
      <c r="F80" s="20" t="str">
        <f>TEXT(Attendance_Data[[#This Row],[Date]], "dddd")</f>
        <v>Sunday</v>
      </c>
      <c r="G80" s="20">
        <f t="shared" si="1"/>
        <v>0</v>
      </c>
    </row>
    <row r="81" spans="1:7" ht="19.5" x14ac:dyDescent="0.25">
      <c r="A81" s="20" t="s">
        <v>45</v>
      </c>
      <c r="B81" s="20" t="s">
        <v>5</v>
      </c>
      <c r="C81" s="20" t="s">
        <v>6</v>
      </c>
      <c r="D81" s="20" t="s">
        <v>7</v>
      </c>
      <c r="E81" s="20" t="str">
        <f>TEXT(Attendance_Data[[#This Row],[Date]], "mmm")</f>
        <v>May</v>
      </c>
      <c r="F81" s="20" t="str">
        <f>TEXT(Attendance_Data[[#This Row],[Date]], "dddd")</f>
        <v>Monday</v>
      </c>
      <c r="G81" s="20">
        <f t="shared" si="1"/>
        <v>1</v>
      </c>
    </row>
    <row r="82" spans="1:7" ht="19.5" x14ac:dyDescent="0.25">
      <c r="A82" s="20" t="s">
        <v>47</v>
      </c>
      <c r="B82" s="20" t="s">
        <v>11</v>
      </c>
      <c r="C82" s="20" t="s">
        <v>6</v>
      </c>
      <c r="D82" s="20" t="s">
        <v>37</v>
      </c>
      <c r="E82" s="20" t="str">
        <f>TEXT(Attendance_Data[[#This Row],[Date]], "mmm")</f>
        <v>May</v>
      </c>
      <c r="F82" s="20" t="str">
        <f>TEXT(Attendance_Data[[#This Row],[Date]], "dddd")</f>
        <v>Thursday</v>
      </c>
      <c r="G82" s="20">
        <f t="shared" si="1"/>
        <v>0</v>
      </c>
    </row>
    <row r="83" spans="1:7" ht="19.5" x14ac:dyDescent="0.25">
      <c r="A83" s="20" t="s">
        <v>32</v>
      </c>
      <c r="B83" s="20" t="s">
        <v>9</v>
      </c>
      <c r="C83" s="20" t="s">
        <v>2</v>
      </c>
      <c r="D83" s="20" t="s">
        <v>7</v>
      </c>
      <c r="E83" s="20" t="str">
        <f>TEXT(Attendance_Data[[#This Row],[Date]], "mmm")</f>
        <v>May</v>
      </c>
      <c r="F83" s="20" t="str">
        <f>TEXT(Attendance_Data[[#This Row],[Date]], "dddd")</f>
        <v>Tuesday</v>
      </c>
      <c r="G83" s="20">
        <f t="shared" si="1"/>
        <v>1</v>
      </c>
    </row>
    <row r="84" spans="1:7" ht="19.5" x14ac:dyDescent="0.25">
      <c r="A84" s="20" t="s">
        <v>21</v>
      </c>
      <c r="B84" s="20" t="s">
        <v>11</v>
      </c>
      <c r="C84" s="20" t="s">
        <v>6</v>
      </c>
      <c r="D84" s="20" t="s">
        <v>7</v>
      </c>
      <c r="E84" s="20" t="str">
        <f>TEXT(Attendance_Data[[#This Row],[Date]], "mmm")</f>
        <v>May</v>
      </c>
      <c r="F84" s="20" t="str">
        <f>TEXT(Attendance_Data[[#This Row],[Date]], "dddd")</f>
        <v>Friday</v>
      </c>
      <c r="G84" s="20">
        <f t="shared" si="1"/>
        <v>1</v>
      </c>
    </row>
    <row r="85" spans="1:7" ht="19.5" x14ac:dyDescent="0.25">
      <c r="A85" s="20" t="s">
        <v>45</v>
      </c>
      <c r="B85" s="20" t="s">
        <v>11</v>
      </c>
      <c r="C85" s="20" t="s">
        <v>6</v>
      </c>
      <c r="D85" s="20" t="s">
        <v>7</v>
      </c>
      <c r="E85" s="20" t="str">
        <f>TEXT(Attendance_Data[[#This Row],[Date]], "mmm")</f>
        <v>May</v>
      </c>
      <c r="F85" s="20" t="str">
        <f>TEXT(Attendance_Data[[#This Row],[Date]], "dddd")</f>
        <v>Monday</v>
      </c>
      <c r="G85" s="20">
        <f t="shared" si="1"/>
        <v>1</v>
      </c>
    </row>
    <row r="86" spans="1:7" ht="19.5" x14ac:dyDescent="0.25">
      <c r="A86" s="20" t="s">
        <v>0</v>
      </c>
      <c r="B86" s="20" t="s">
        <v>30</v>
      </c>
      <c r="C86" s="20" t="s">
        <v>24</v>
      </c>
      <c r="D86" s="20" t="s">
        <v>7</v>
      </c>
      <c r="E86" s="20" t="str">
        <f>TEXT(Attendance_Data[[#This Row],[Date]], "mmm")</f>
        <v>May</v>
      </c>
      <c r="F86" s="20" t="str">
        <f>TEXT(Attendance_Data[[#This Row],[Date]], "dddd")</f>
        <v>Wednesday</v>
      </c>
      <c r="G86" s="20">
        <f t="shared" si="1"/>
        <v>1</v>
      </c>
    </row>
    <row r="87" spans="1:7" ht="19.5" x14ac:dyDescent="0.25">
      <c r="A87" s="20" t="s">
        <v>26</v>
      </c>
      <c r="B87" s="20" t="s">
        <v>23</v>
      </c>
      <c r="C87" s="20" t="s">
        <v>24</v>
      </c>
      <c r="D87" s="20" t="s">
        <v>3</v>
      </c>
      <c r="E87" s="20" t="str">
        <f>TEXT(Attendance_Data[[#This Row],[Date]], "mmm")</f>
        <v>May</v>
      </c>
      <c r="F87" s="20" t="str">
        <f>TEXT(Attendance_Data[[#This Row],[Date]], "dddd")</f>
        <v>Sunday</v>
      </c>
      <c r="G87" s="20">
        <f t="shared" si="1"/>
        <v>1</v>
      </c>
    </row>
    <row r="88" spans="1:7" ht="19.5" x14ac:dyDescent="0.25">
      <c r="A88" s="20" t="s">
        <v>44</v>
      </c>
      <c r="B88" s="20" t="s">
        <v>13</v>
      </c>
      <c r="C88" s="20" t="s">
        <v>14</v>
      </c>
      <c r="D88" s="20" t="s">
        <v>7</v>
      </c>
      <c r="E88" s="20" t="str">
        <f>TEXT(Attendance_Data[[#This Row],[Date]], "mmm")</f>
        <v>May</v>
      </c>
      <c r="F88" s="20" t="str">
        <f>TEXT(Attendance_Data[[#This Row],[Date]], "dddd")</f>
        <v>Saturday</v>
      </c>
      <c r="G88" s="20">
        <f t="shared" si="1"/>
        <v>1</v>
      </c>
    </row>
    <row r="89" spans="1:7" ht="19.5" x14ac:dyDescent="0.25">
      <c r="A89" s="20" t="s">
        <v>31</v>
      </c>
      <c r="B89" s="20" t="s">
        <v>5</v>
      </c>
      <c r="C89" s="20" t="s">
        <v>6</v>
      </c>
      <c r="D89" s="20" t="s">
        <v>3</v>
      </c>
      <c r="E89" s="20" t="str">
        <f>TEXT(Attendance_Data[[#This Row],[Date]], "mmm")</f>
        <v>May</v>
      </c>
      <c r="F89" s="20" t="str">
        <f>TEXT(Attendance_Data[[#This Row],[Date]], "dddd")</f>
        <v>Tuesday</v>
      </c>
      <c r="G89" s="20">
        <f t="shared" si="1"/>
        <v>1</v>
      </c>
    </row>
    <row r="90" spans="1:7" ht="19.5" x14ac:dyDescent="0.25">
      <c r="A90" s="20" t="s">
        <v>33</v>
      </c>
      <c r="B90" s="20" t="s">
        <v>43</v>
      </c>
      <c r="C90" s="20" t="s">
        <v>28</v>
      </c>
      <c r="D90" s="20" t="s">
        <v>7</v>
      </c>
      <c r="E90" s="20" t="str">
        <f>TEXT(Attendance_Data[[#This Row],[Date]], "mmm")</f>
        <v>May</v>
      </c>
      <c r="F90" s="20" t="str">
        <f>TEXT(Attendance_Data[[#This Row],[Date]], "dddd")</f>
        <v>Wednesday</v>
      </c>
      <c r="G90" s="20">
        <f t="shared" si="1"/>
        <v>1</v>
      </c>
    </row>
    <row r="91" spans="1:7" ht="19.5" x14ac:dyDescent="0.25">
      <c r="A91" s="20" t="s">
        <v>8</v>
      </c>
      <c r="B91" s="20" t="s">
        <v>13</v>
      </c>
      <c r="C91" s="20" t="s">
        <v>14</v>
      </c>
      <c r="D91" s="20" t="s">
        <v>7</v>
      </c>
      <c r="E91" s="20" t="str">
        <f>TEXT(Attendance_Data[[#This Row],[Date]], "mmm")</f>
        <v>May</v>
      </c>
      <c r="F91" s="20" t="str">
        <f>TEXT(Attendance_Data[[#This Row],[Date]], "dddd")</f>
        <v>Wednesday</v>
      </c>
      <c r="G91" s="20">
        <f t="shared" si="1"/>
        <v>1</v>
      </c>
    </row>
    <row r="92" spans="1:7" ht="19.5" x14ac:dyDescent="0.25">
      <c r="A92" s="20" t="s">
        <v>10</v>
      </c>
      <c r="B92" s="20" t="s">
        <v>30</v>
      </c>
      <c r="C92" s="20" t="s">
        <v>24</v>
      </c>
      <c r="D92" s="20" t="s">
        <v>7</v>
      </c>
      <c r="E92" s="20" t="str">
        <f>TEXT(Attendance_Data[[#This Row],[Date]], "mmm")</f>
        <v>May</v>
      </c>
      <c r="F92" s="20" t="str">
        <f>TEXT(Attendance_Data[[#This Row],[Date]], "dddd")</f>
        <v>Friday</v>
      </c>
      <c r="G92" s="20">
        <f t="shared" si="1"/>
        <v>1</v>
      </c>
    </row>
    <row r="93" spans="1:7" ht="19.5" x14ac:dyDescent="0.25">
      <c r="A93" s="20" t="s">
        <v>31</v>
      </c>
      <c r="B93" s="20" t="s">
        <v>5</v>
      </c>
      <c r="C93" s="20" t="s">
        <v>6</v>
      </c>
      <c r="D93" s="20" t="s">
        <v>3</v>
      </c>
      <c r="E93" s="20" t="str">
        <f>TEXT(Attendance_Data[[#This Row],[Date]], "mmm")</f>
        <v>May</v>
      </c>
      <c r="F93" s="20" t="str">
        <f>TEXT(Attendance_Data[[#This Row],[Date]], "dddd")</f>
        <v>Tuesday</v>
      </c>
      <c r="G93" s="20">
        <f t="shared" si="1"/>
        <v>1</v>
      </c>
    </row>
    <row r="94" spans="1:7" ht="19.5" x14ac:dyDescent="0.25">
      <c r="A94" s="20" t="s">
        <v>39</v>
      </c>
      <c r="B94" s="20" t="s">
        <v>1</v>
      </c>
      <c r="C94" s="20" t="s">
        <v>2</v>
      </c>
      <c r="D94" s="20" t="s">
        <v>7</v>
      </c>
      <c r="E94" s="20" t="str">
        <f>TEXT(Attendance_Data[[#This Row],[Date]], "mmm")</f>
        <v>May</v>
      </c>
      <c r="F94" s="20" t="str">
        <f>TEXT(Attendance_Data[[#This Row],[Date]], "dddd")</f>
        <v>Thursday</v>
      </c>
      <c r="G94" s="20">
        <f t="shared" si="1"/>
        <v>1</v>
      </c>
    </row>
    <row r="95" spans="1:7" ht="19.5" x14ac:dyDescent="0.25">
      <c r="A95" s="20" t="s">
        <v>33</v>
      </c>
      <c r="B95" s="20" t="s">
        <v>11</v>
      </c>
      <c r="C95" s="20" t="s">
        <v>6</v>
      </c>
      <c r="D95" s="20" t="s">
        <v>3</v>
      </c>
      <c r="E95" s="20" t="str">
        <f>TEXT(Attendance_Data[[#This Row],[Date]], "mmm")</f>
        <v>May</v>
      </c>
      <c r="F95" s="20" t="str">
        <f>TEXT(Attendance_Data[[#This Row],[Date]], "dddd")</f>
        <v>Wednesday</v>
      </c>
      <c r="G95" s="20">
        <f t="shared" si="1"/>
        <v>1</v>
      </c>
    </row>
    <row r="96" spans="1:7" ht="19.5" x14ac:dyDescent="0.25">
      <c r="A96" s="20" t="s">
        <v>33</v>
      </c>
      <c r="B96" s="20" t="s">
        <v>30</v>
      </c>
      <c r="C96" s="20" t="s">
        <v>24</v>
      </c>
      <c r="D96" s="20" t="s">
        <v>7</v>
      </c>
      <c r="E96" s="20" t="str">
        <f>TEXT(Attendance_Data[[#This Row],[Date]], "mmm")</f>
        <v>May</v>
      </c>
      <c r="F96" s="20" t="str">
        <f>TEXT(Attendance_Data[[#This Row],[Date]], "dddd")</f>
        <v>Wednesday</v>
      </c>
      <c r="G96" s="20">
        <f t="shared" si="1"/>
        <v>1</v>
      </c>
    </row>
    <row r="97" spans="1:7" ht="19.5" x14ac:dyDescent="0.25">
      <c r="A97" s="20" t="s">
        <v>12</v>
      </c>
      <c r="B97" s="20" t="s">
        <v>30</v>
      </c>
      <c r="C97" s="20" t="s">
        <v>24</v>
      </c>
      <c r="D97" s="20" t="s">
        <v>3</v>
      </c>
      <c r="E97" s="20" t="str">
        <f>TEXT(Attendance_Data[[#This Row],[Date]], "mmm")</f>
        <v>May</v>
      </c>
      <c r="F97" s="20" t="str">
        <f>TEXT(Attendance_Data[[#This Row],[Date]], "dddd")</f>
        <v>Monday</v>
      </c>
      <c r="G97" s="20">
        <f t="shared" si="1"/>
        <v>1</v>
      </c>
    </row>
    <row r="98" spans="1:7" ht="19.5" x14ac:dyDescent="0.25">
      <c r="A98" s="20" t="s">
        <v>29</v>
      </c>
      <c r="B98" s="20" t="s">
        <v>23</v>
      </c>
      <c r="C98" s="20" t="s">
        <v>24</v>
      </c>
      <c r="D98" s="20" t="s">
        <v>3</v>
      </c>
      <c r="E98" s="20" t="str">
        <f>TEXT(Attendance_Data[[#This Row],[Date]], "mmm")</f>
        <v>May</v>
      </c>
      <c r="F98" s="20" t="str">
        <f>TEXT(Attendance_Data[[#This Row],[Date]], "dddd")</f>
        <v>Monday</v>
      </c>
      <c r="G98" s="20">
        <f t="shared" si="1"/>
        <v>1</v>
      </c>
    </row>
    <row r="99" spans="1:7" ht="19.5" x14ac:dyDescent="0.25">
      <c r="A99" s="20" t="s">
        <v>40</v>
      </c>
      <c r="B99" s="20" t="s">
        <v>23</v>
      </c>
      <c r="C99" s="20" t="s">
        <v>24</v>
      </c>
      <c r="D99" s="20" t="s">
        <v>7</v>
      </c>
      <c r="E99" s="20" t="str">
        <f>TEXT(Attendance_Data[[#This Row],[Date]], "mmm")</f>
        <v>May</v>
      </c>
      <c r="F99" s="20" t="str">
        <f>TEXT(Attendance_Data[[#This Row],[Date]], "dddd")</f>
        <v>Friday</v>
      </c>
      <c r="G99" s="20">
        <f t="shared" si="1"/>
        <v>1</v>
      </c>
    </row>
    <row r="100" spans="1:7" ht="19.5" x14ac:dyDescent="0.25">
      <c r="A100" s="20" t="s">
        <v>26</v>
      </c>
      <c r="B100" s="20" t="s">
        <v>43</v>
      </c>
      <c r="C100" s="20" t="s">
        <v>28</v>
      </c>
      <c r="D100" s="20" t="s">
        <v>7</v>
      </c>
      <c r="E100" s="20" t="str">
        <f>TEXT(Attendance_Data[[#This Row],[Date]], "mmm")</f>
        <v>May</v>
      </c>
      <c r="F100" s="20" t="str">
        <f>TEXT(Attendance_Data[[#This Row],[Date]], "dddd")</f>
        <v>Sunday</v>
      </c>
      <c r="G100" s="20">
        <f t="shared" si="1"/>
        <v>1</v>
      </c>
    </row>
    <row r="101" spans="1:7" ht="19.5" x14ac:dyDescent="0.25">
      <c r="A101" s="20" t="s">
        <v>48</v>
      </c>
      <c r="B101" s="20" t="s">
        <v>16</v>
      </c>
      <c r="C101" s="20" t="s">
        <v>14</v>
      </c>
      <c r="D101" s="20" t="s">
        <v>7</v>
      </c>
      <c r="E101" s="20" t="str">
        <f>TEXT(Attendance_Data[[#This Row],[Date]], "mmm")</f>
        <v>May</v>
      </c>
      <c r="F101" s="20" t="str">
        <f>TEXT(Attendance_Data[[#This Row],[Date]], "dddd")</f>
        <v>Sunday</v>
      </c>
      <c r="G101" s="20">
        <f t="shared" si="1"/>
        <v>1</v>
      </c>
    </row>
    <row r="102" spans="1:7" ht="19.5" x14ac:dyDescent="0.25">
      <c r="A102" s="20" t="s">
        <v>41</v>
      </c>
      <c r="B102" s="20" t="s">
        <v>9</v>
      </c>
      <c r="C102" s="20" t="s">
        <v>2</v>
      </c>
      <c r="D102" s="20" t="s">
        <v>3</v>
      </c>
      <c r="E102" s="20" t="str">
        <f>TEXT(Attendance_Data[[#This Row],[Date]], "mmm")</f>
        <v>May</v>
      </c>
      <c r="F102" s="20" t="str">
        <f>TEXT(Attendance_Data[[#This Row],[Date]], "dddd")</f>
        <v>Monday</v>
      </c>
      <c r="G102" s="20">
        <f t="shared" si="1"/>
        <v>1</v>
      </c>
    </row>
    <row r="103" spans="1:7" ht="19.5" x14ac:dyDescent="0.25">
      <c r="A103" s="20" t="s">
        <v>47</v>
      </c>
      <c r="B103" s="20" t="s">
        <v>43</v>
      </c>
      <c r="C103" s="20" t="s">
        <v>28</v>
      </c>
      <c r="D103" s="20" t="s">
        <v>7</v>
      </c>
      <c r="E103" s="20" t="str">
        <f>TEXT(Attendance_Data[[#This Row],[Date]], "mmm")</f>
        <v>May</v>
      </c>
      <c r="F103" s="20" t="str">
        <f>TEXT(Attendance_Data[[#This Row],[Date]], "dddd")</f>
        <v>Thursday</v>
      </c>
      <c r="G103" s="20">
        <f t="shared" si="1"/>
        <v>1</v>
      </c>
    </row>
    <row r="104" spans="1:7" ht="19.5" x14ac:dyDescent="0.25">
      <c r="A104" s="20" t="s">
        <v>44</v>
      </c>
      <c r="B104" s="20" t="s">
        <v>30</v>
      </c>
      <c r="C104" s="20" t="s">
        <v>24</v>
      </c>
      <c r="D104" s="20" t="s">
        <v>3</v>
      </c>
      <c r="E104" s="20" t="str">
        <f>TEXT(Attendance_Data[[#This Row],[Date]], "mmm")</f>
        <v>May</v>
      </c>
      <c r="F104" s="20" t="str">
        <f>TEXT(Attendance_Data[[#This Row],[Date]], "dddd")</f>
        <v>Saturday</v>
      </c>
      <c r="G104" s="20">
        <f t="shared" si="1"/>
        <v>1</v>
      </c>
    </row>
    <row r="105" spans="1:7" ht="19.5" x14ac:dyDescent="0.25">
      <c r="A105" s="20" t="s">
        <v>15</v>
      </c>
      <c r="B105" s="20" t="s">
        <v>5</v>
      </c>
      <c r="C105" s="20" t="s">
        <v>6</v>
      </c>
      <c r="D105" s="20" t="s">
        <v>7</v>
      </c>
      <c r="E105" s="20" t="str">
        <f>TEXT(Attendance_Data[[#This Row],[Date]], "mmm")</f>
        <v>May</v>
      </c>
      <c r="F105" s="20" t="str">
        <f>TEXT(Attendance_Data[[#This Row],[Date]], "dddd")</f>
        <v>Sunday</v>
      </c>
      <c r="G105" s="20">
        <f t="shared" si="1"/>
        <v>1</v>
      </c>
    </row>
    <row r="106" spans="1:7" ht="19.5" x14ac:dyDescent="0.25">
      <c r="A106" s="20" t="s">
        <v>8</v>
      </c>
      <c r="B106" s="20" t="s">
        <v>23</v>
      </c>
      <c r="C106" s="20" t="s">
        <v>24</v>
      </c>
      <c r="D106" s="20" t="s">
        <v>7</v>
      </c>
      <c r="E106" s="20" t="str">
        <f>TEXT(Attendance_Data[[#This Row],[Date]], "mmm")</f>
        <v>May</v>
      </c>
      <c r="F106" s="20" t="str">
        <f>TEXT(Attendance_Data[[#This Row],[Date]], "dddd")</f>
        <v>Wednesday</v>
      </c>
      <c r="G106" s="20">
        <f t="shared" si="1"/>
        <v>1</v>
      </c>
    </row>
    <row r="107" spans="1:7" ht="19.5" x14ac:dyDescent="0.25">
      <c r="A107" s="20" t="s">
        <v>36</v>
      </c>
      <c r="B107" s="20" t="s">
        <v>23</v>
      </c>
      <c r="C107" s="20" t="s">
        <v>24</v>
      </c>
      <c r="D107" s="20" t="s">
        <v>7</v>
      </c>
      <c r="E107" s="20" t="str">
        <f>TEXT(Attendance_Data[[#This Row],[Date]], "mmm")</f>
        <v>May</v>
      </c>
      <c r="F107" s="20" t="str">
        <f>TEXT(Attendance_Data[[#This Row],[Date]], "dddd")</f>
        <v>Saturday</v>
      </c>
      <c r="G107" s="20">
        <f t="shared" si="1"/>
        <v>1</v>
      </c>
    </row>
    <row r="108" spans="1:7" ht="19.5" x14ac:dyDescent="0.25">
      <c r="A108" s="20" t="s">
        <v>19</v>
      </c>
      <c r="B108" s="20" t="s">
        <v>27</v>
      </c>
      <c r="C108" s="20" t="s">
        <v>28</v>
      </c>
      <c r="D108" s="20" t="s">
        <v>7</v>
      </c>
      <c r="E108" s="20" t="str">
        <f>TEXT(Attendance_Data[[#This Row],[Date]], "mmm")</f>
        <v>May</v>
      </c>
      <c r="F108" s="20" t="str">
        <f>TEXT(Attendance_Data[[#This Row],[Date]], "dddd")</f>
        <v>Saturday</v>
      </c>
      <c r="G108" s="20">
        <f t="shared" si="1"/>
        <v>1</v>
      </c>
    </row>
    <row r="109" spans="1:7" ht="19.5" x14ac:dyDescent="0.25">
      <c r="A109" s="20" t="s">
        <v>34</v>
      </c>
      <c r="B109" s="20" t="s">
        <v>30</v>
      </c>
      <c r="C109" s="20" t="s">
        <v>24</v>
      </c>
      <c r="D109" s="20" t="s">
        <v>7</v>
      </c>
      <c r="E109" s="20" t="str">
        <f>TEXT(Attendance_Data[[#This Row],[Date]], "mmm")</f>
        <v>May</v>
      </c>
      <c r="F109" s="20" t="str">
        <f>TEXT(Attendance_Data[[#This Row],[Date]], "dddd")</f>
        <v>Saturday</v>
      </c>
      <c r="G109" s="20">
        <f t="shared" si="1"/>
        <v>1</v>
      </c>
    </row>
    <row r="110" spans="1:7" ht="19.5" x14ac:dyDescent="0.25">
      <c r="A110" s="20" t="s">
        <v>32</v>
      </c>
      <c r="B110" s="20" t="s">
        <v>9</v>
      </c>
      <c r="C110" s="20" t="s">
        <v>2</v>
      </c>
      <c r="D110" s="20" t="s">
        <v>20</v>
      </c>
      <c r="E110" s="20" t="str">
        <f>TEXT(Attendance_Data[[#This Row],[Date]], "mmm")</f>
        <v>May</v>
      </c>
      <c r="F110" s="20" t="str">
        <f>TEXT(Attendance_Data[[#This Row],[Date]], "dddd")</f>
        <v>Tuesday</v>
      </c>
      <c r="G110" s="20">
        <f t="shared" si="1"/>
        <v>0</v>
      </c>
    </row>
    <row r="111" spans="1:7" ht="19.5" x14ac:dyDescent="0.25">
      <c r="A111" s="20" t="s">
        <v>19</v>
      </c>
      <c r="B111" s="20" t="s">
        <v>30</v>
      </c>
      <c r="C111" s="20" t="s">
        <v>24</v>
      </c>
      <c r="D111" s="20" t="s">
        <v>7</v>
      </c>
      <c r="E111" s="20" t="str">
        <f>TEXT(Attendance_Data[[#This Row],[Date]], "mmm")</f>
        <v>May</v>
      </c>
      <c r="F111" s="20" t="str">
        <f>TEXT(Attendance_Data[[#This Row],[Date]], "dddd")</f>
        <v>Saturday</v>
      </c>
      <c r="G111" s="20">
        <f t="shared" si="1"/>
        <v>1</v>
      </c>
    </row>
    <row r="112" spans="1:7" ht="19.5" x14ac:dyDescent="0.25">
      <c r="A112" s="20" t="s">
        <v>21</v>
      </c>
      <c r="B112" s="20" t="s">
        <v>13</v>
      </c>
      <c r="C112" s="20" t="s">
        <v>14</v>
      </c>
      <c r="D112" s="20" t="s">
        <v>7</v>
      </c>
      <c r="E112" s="20" t="str">
        <f>TEXT(Attendance_Data[[#This Row],[Date]], "mmm")</f>
        <v>May</v>
      </c>
      <c r="F112" s="20" t="str">
        <f>TEXT(Attendance_Data[[#This Row],[Date]], "dddd")</f>
        <v>Friday</v>
      </c>
      <c r="G112" s="20">
        <f t="shared" si="1"/>
        <v>1</v>
      </c>
    </row>
    <row r="113" spans="1:7" ht="19.5" x14ac:dyDescent="0.25">
      <c r="A113" s="20" t="s">
        <v>0</v>
      </c>
      <c r="B113" s="20" t="s">
        <v>11</v>
      </c>
      <c r="C113" s="20" t="s">
        <v>6</v>
      </c>
      <c r="D113" s="20" t="s">
        <v>3</v>
      </c>
      <c r="E113" s="20" t="str">
        <f>TEXT(Attendance_Data[[#This Row],[Date]], "mmm")</f>
        <v>May</v>
      </c>
      <c r="F113" s="20" t="str">
        <f>TEXT(Attendance_Data[[#This Row],[Date]], "dddd")</f>
        <v>Wednesday</v>
      </c>
      <c r="G113" s="20">
        <f t="shared" si="1"/>
        <v>1</v>
      </c>
    </row>
    <row r="114" spans="1:7" ht="19.5" x14ac:dyDescent="0.25">
      <c r="A114" s="20" t="s">
        <v>8</v>
      </c>
      <c r="B114" s="20" t="s">
        <v>23</v>
      </c>
      <c r="C114" s="20" t="s">
        <v>24</v>
      </c>
      <c r="D114" s="20" t="s">
        <v>7</v>
      </c>
      <c r="E114" s="20" t="str">
        <f>TEXT(Attendance_Data[[#This Row],[Date]], "mmm")</f>
        <v>May</v>
      </c>
      <c r="F114" s="20" t="str">
        <f>TEXT(Attendance_Data[[#This Row],[Date]], "dddd")</f>
        <v>Wednesday</v>
      </c>
      <c r="G114" s="20">
        <f t="shared" si="1"/>
        <v>1</v>
      </c>
    </row>
    <row r="115" spans="1:7" ht="19.5" x14ac:dyDescent="0.25">
      <c r="A115" s="20" t="s">
        <v>40</v>
      </c>
      <c r="B115" s="20" t="s">
        <v>9</v>
      </c>
      <c r="C115" s="20" t="s">
        <v>2</v>
      </c>
      <c r="D115" s="20" t="s">
        <v>7</v>
      </c>
      <c r="E115" s="20" t="str">
        <f>TEXT(Attendance_Data[[#This Row],[Date]], "mmm")</f>
        <v>May</v>
      </c>
      <c r="F115" s="20" t="str">
        <f>TEXT(Attendance_Data[[#This Row],[Date]], "dddd")</f>
        <v>Friday</v>
      </c>
      <c r="G115" s="20">
        <f t="shared" si="1"/>
        <v>1</v>
      </c>
    </row>
    <row r="116" spans="1:7" ht="19.5" x14ac:dyDescent="0.25">
      <c r="A116" s="20" t="s">
        <v>39</v>
      </c>
      <c r="B116" s="20" t="s">
        <v>9</v>
      </c>
      <c r="C116" s="20" t="s">
        <v>2</v>
      </c>
      <c r="D116" s="20" t="s">
        <v>3</v>
      </c>
      <c r="E116" s="20" t="str">
        <f>TEXT(Attendance_Data[[#This Row],[Date]], "mmm")</f>
        <v>May</v>
      </c>
      <c r="F116" s="20" t="str">
        <f>TEXT(Attendance_Data[[#This Row],[Date]], "dddd")</f>
        <v>Thursday</v>
      </c>
      <c r="G116" s="20">
        <f t="shared" si="1"/>
        <v>1</v>
      </c>
    </row>
    <row r="117" spans="1:7" ht="19.5" x14ac:dyDescent="0.25">
      <c r="A117" s="20" t="s">
        <v>31</v>
      </c>
      <c r="B117" s="20" t="s">
        <v>11</v>
      </c>
      <c r="C117" s="20" t="s">
        <v>6</v>
      </c>
      <c r="D117" s="20" t="s">
        <v>7</v>
      </c>
      <c r="E117" s="20" t="str">
        <f>TEXT(Attendance_Data[[#This Row],[Date]], "mmm")</f>
        <v>May</v>
      </c>
      <c r="F117" s="20" t="str">
        <f>TEXT(Attendance_Data[[#This Row],[Date]], "dddd")</f>
        <v>Tuesday</v>
      </c>
      <c r="G117" s="20">
        <f t="shared" si="1"/>
        <v>1</v>
      </c>
    </row>
    <row r="118" spans="1:7" ht="19.5" x14ac:dyDescent="0.25">
      <c r="A118" s="20" t="s">
        <v>25</v>
      </c>
      <c r="B118" s="20" t="s">
        <v>5</v>
      </c>
      <c r="C118" s="20" t="s">
        <v>6</v>
      </c>
      <c r="D118" s="20" t="s">
        <v>7</v>
      </c>
      <c r="E118" s="20" t="str">
        <f>TEXT(Attendance_Data[[#This Row],[Date]], "mmm")</f>
        <v>May</v>
      </c>
      <c r="F118" s="20" t="str">
        <f>TEXT(Attendance_Data[[#This Row],[Date]], "dddd")</f>
        <v>Sunday</v>
      </c>
      <c r="G118" s="20">
        <f t="shared" si="1"/>
        <v>1</v>
      </c>
    </row>
    <row r="119" spans="1:7" ht="19.5" x14ac:dyDescent="0.25">
      <c r="A119" s="20" t="s">
        <v>29</v>
      </c>
      <c r="B119" s="20" t="s">
        <v>13</v>
      </c>
      <c r="C119" s="20" t="s">
        <v>14</v>
      </c>
      <c r="D119" s="20" t="s">
        <v>7</v>
      </c>
      <c r="E119" s="20" t="str">
        <f>TEXT(Attendance_Data[[#This Row],[Date]], "mmm")</f>
        <v>May</v>
      </c>
      <c r="F119" s="20" t="str">
        <f>TEXT(Attendance_Data[[#This Row],[Date]], "dddd")</f>
        <v>Monday</v>
      </c>
      <c r="G119" s="20">
        <f t="shared" si="1"/>
        <v>1</v>
      </c>
    </row>
    <row r="120" spans="1:7" ht="19.5" x14ac:dyDescent="0.25">
      <c r="A120" s="20" t="s">
        <v>49</v>
      </c>
      <c r="B120" s="20" t="s">
        <v>9</v>
      </c>
      <c r="C120" s="20" t="s">
        <v>2</v>
      </c>
      <c r="D120" s="20" t="s">
        <v>3</v>
      </c>
      <c r="E120" s="20" t="str">
        <f>TEXT(Attendance_Data[[#This Row],[Date]], "mmm")</f>
        <v>May</v>
      </c>
      <c r="F120" s="20" t="str">
        <f>TEXT(Attendance_Data[[#This Row],[Date]], "dddd")</f>
        <v>Thursday</v>
      </c>
      <c r="G120" s="20">
        <f t="shared" si="1"/>
        <v>1</v>
      </c>
    </row>
    <row r="121" spans="1:7" ht="19.5" x14ac:dyDescent="0.25">
      <c r="A121" s="20" t="s">
        <v>17</v>
      </c>
      <c r="B121" s="20" t="s">
        <v>13</v>
      </c>
      <c r="C121" s="20" t="s">
        <v>14</v>
      </c>
      <c r="D121" s="20" t="s">
        <v>7</v>
      </c>
      <c r="E121" s="20" t="str">
        <f>TEXT(Attendance_Data[[#This Row],[Date]], "mmm")</f>
        <v>May</v>
      </c>
      <c r="F121" s="20" t="str">
        <f>TEXT(Attendance_Data[[#This Row],[Date]], "dddd")</f>
        <v>Friday</v>
      </c>
      <c r="G121" s="20">
        <f t="shared" si="1"/>
        <v>1</v>
      </c>
    </row>
    <row r="122" spans="1:7" ht="19.5" x14ac:dyDescent="0.25">
      <c r="A122" s="20" t="s">
        <v>8</v>
      </c>
      <c r="B122" s="20" t="s">
        <v>9</v>
      </c>
      <c r="C122" s="20" t="s">
        <v>2</v>
      </c>
      <c r="D122" s="20" t="s">
        <v>7</v>
      </c>
      <c r="E122" s="20" t="str">
        <f>TEXT(Attendance_Data[[#This Row],[Date]], "mmm")</f>
        <v>May</v>
      </c>
      <c r="F122" s="20" t="str">
        <f>TEXT(Attendance_Data[[#This Row],[Date]], "dddd")</f>
        <v>Wednesday</v>
      </c>
      <c r="G122" s="20">
        <f t="shared" si="1"/>
        <v>1</v>
      </c>
    </row>
    <row r="123" spans="1:7" ht="19.5" x14ac:dyDescent="0.25">
      <c r="A123" s="20" t="s">
        <v>46</v>
      </c>
      <c r="B123" s="20" t="s">
        <v>30</v>
      </c>
      <c r="C123" s="20" t="s">
        <v>24</v>
      </c>
      <c r="D123" s="20" t="s">
        <v>7</v>
      </c>
      <c r="E123" s="20" t="str">
        <f>TEXT(Attendance_Data[[#This Row],[Date]], "mmm")</f>
        <v>May</v>
      </c>
      <c r="F123" s="20" t="str">
        <f>TEXT(Attendance_Data[[#This Row],[Date]], "dddd")</f>
        <v>Saturday</v>
      </c>
      <c r="G123" s="20">
        <f t="shared" si="1"/>
        <v>1</v>
      </c>
    </row>
    <row r="124" spans="1:7" ht="19.5" x14ac:dyDescent="0.25">
      <c r="A124" s="20" t="s">
        <v>34</v>
      </c>
      <c r="B124" s="20" t="s">
        <v>43</v>
      </c>
      <c r="C124" s="20" t="s">
        <v>28</v>
      </c>
      <c r="D124" s="20" t="s">
        <v>20</v>
      </c>
      <c r="E124" s="20" t="str">
        <f>TEXT(Attendance_Data[[#This Row],[Date]], "mmm")</f>
        <v>May</v>
      </c>
      <c r="F124" s="20" t="str">
        <f>TEXT(Attendance_Data[[#This Row],[Date]], "dddd")</f>
        <v>Saturday</v>
      </c>
      <c r="G124" s="20">
        <f t="shared" si="1"/>
        <v>0</v>
      </c>
    </row>
    <row r="125" spans="1:7" ht="19.5" x14ac:dyDescent="0.25">
      <c r="A125" s="20" t="s">
        <v>47</v>
      </c>
      <c r="B125" s="20" t="s">
        <v>27</v>
      </c>
      <c r="C125" s="20" t="s">
        <v>28</v>
      </c>
      <c r="D125" s="20" t="s">
        <v>3</v>
      </c>
      <c r="E125" s="20" t="str">
        <f>TEXT(Attendance_Data[[#This Row],[Date]], "mmm")</f>
        <v>May</v>
      </c>
      <c r="F125" s="20" t="str">
        <f>TEXT(Attendance_Data[[#This Row],[Date]], "dddd")</f>
        <v>Thursday</v>
      </c>
      <c r="G125" s="20">
        <f t="shared" si="1"/>
        <v>1</v>
      </c>
    </row>
    <row r="126" spans="1:7" ht="19.5" x14ac:dyDescent="0.25">
      <c r="A126" s="20" t="s">
        <v>0</v>
      </c>
      <c r="B126" s="20" t="s">
        <v>1</v>
      </c>
      <c r="C126" s="20" t="s">
        <v>2</v>
      </c>
      <c r="D126" s="20" t="s">
        <v>7</v>
      </c>
      <c r="E126" s="20" t="str">
        <f>TEXT(Attendance_Data[[#This Row],[Date]], "mmm")</f>
        <v>May</v>
      </c>
      <c r="F126" s="20" t="str">
        <f>TEXT(Attendance_Data[[#This Row],[Date]], "dddd")</f>
        <v>Wednesday</v>
      </c>
      <c r="G126" s="20">
        <f t="shared" si="1"/>
        <v>1</v>
      </c>
    </row>
    <row r="127" spans="1:7" ht="19.5" x14ac:dyDescent="0.25">
      <c r="A127" s="20" t="s">
        <v>41</v>
      </c>
      <c r="B127" s="20" t="s">
        <v>13</v>
      </c>
      <c r="C127" s="20" t="s">
        <v>14</v>
      </c>
      <c r="D127" s="20" t="s">
        <v>3</v>
      </c>
      <c r="E127" s="20" t="str">
        <f>TEXT(Attendance_Data[[#This Row],[Date]], "mmm")</f>
        <v>May</v>
      </c>
      <c r="F127" s="20" t="str">
        <f>TEXT(Attendance_Data[[#This Row],[Date]], "dddd")</f>
        <v>Monday</v>
      </c>
      <c r="G127" s="20">
        <f t="shared" si="1"/>
        <v>1</v>
      </c>
    </row>
    <row r="128" spans="1:7" ht="19.5" x14ac:dyDescent="0.25">
      <c r="A128" s="20" t="s">
        <v>21</v>
      </c>
      <c r="B128" s="20" t="s">
        <v>23</v>
      </c>
      <c r="C128" s="20" t="s">
        <v>24</v>
      </c>
      <c r="D128" s="20" t="s">
        <v>7</v>
      </c>
      <c r="E128" s="20" t="str">
        <f>TEXT(Attendance_Data[[#This Row],[Date]], "mmm")</f>
        <v>May</v>
      </c>
      <c r="F128" s="20" t="str">
        <f>TEXT(Attendance_Data[[#This Row],[Date]], "dddd")</f>
        <v>Friday</v>
      </c>
      <c r="G128" s="20">
        <f t="shared" si="1"/>
        <v>1</v>
      </c>
    </row>
    <row r="129" spans="1:7" ht="19.5" x14ac:dyDescent="0.25">
      <c r="A129" s="20" t="s">
        <v>38</v>
      </c>
      <c r="B129" s="20" t="s">
        <v>23</v>
      </c>
      <c r="C129" s="20" t="s">
        <v>24</v>
      </c>
      <c r="D129" s="20" t="s">
        <v>3</v>
      </c>
      <c r="E129" s="20" t="str">
        <f>TEXT(Attendance_Data[[#This Row],[Date]], "mmm")</f>
        <v>May</v>
      </c>
      <c r="F129" s="20" t="str">
        <f>TEXT(Attendance_Data[[#This Row],[Date]], "dddd")</f>
        <v>Thursday</v>
      </c>
      <c r="G129" s="20">
        <f t="shared" si="1"/>
        <v>1</v>
      </c>
    </row>
    <row r="130" spans="1:7" ht="19.5" x14ac:dyDescent="0.25">
      <c r="A130" s="20" t="s">
        <v>29</v>
      </c>
      <c r="B130" s="20" t="s">
        <v>23</v>
      </c>
      <c r="C130" s="20" t="s">
        <v>24</v>
      </c>
      <c r="D130" s="20" t="s">
        <v>3</v>
      </c>
      <c r="E130" s="20" t="str">
        <f>TEXT(Attendance_Data[[#This Row],[Date]], "mmm")</f>
        <v>May</v>
      </c>
      <c r="F130" s="20" t="str">
        <f>TEXT(Attendance_Data[[#This Row],[Date]], "dddd")</f>
        <v>Monday</v>
      </c>
      <c r="G130" s="20">
        <f t="shared" ref="G130:G193" si="2">IF(OR(D130="Present", D130="Late"),1,0)</f>
        <v>1</v>
      </c>
    </row>
    <row r="131" spans="1:7" ht="19.5" x14ac:dyDescent="0.25">
      <c r="A131" s="20" t="s">
        <v>25</v>
      </c>
      <c r="B131" s="20" t="s">
        <v>16</v>
      </c>
      <c r="C131" s="20" t="s">
        <v>14</v>
      </c>
      <c r="D131" s="20" t="s">
        <v>7</v>
      </c>
      <c r="E131" s="20" t="str">
        <f>TEXT(Attendance_Data[[#This Row],[Date]], "mmm")</f>
        <v>May</v>
      </c>
      <c r="F131" s="20" t="str">
        <f>TEXT(Attendance_Data[[#This Row],[Date]], "dddd")</f>
        <v>Sunday</v>
      </c>
      <c r="G131" s="20">
        <f t="shared" si="2"/>
        <v>1</v>
      </c>
    </row>
    <row r="132" spans="1:7" ht="19.5" x14ac:dyDescent="0.25">
      <c r="A132" s="20" t="s">
        <v>47</v>
      </c>
      <c r="B132" s="20" t="s">
        <v>11</v>
      </c>
      <c r="C132" s="20" t="s">
        <v>6</v>
      </c>
      <c r="D132" s="20" t="s">
        <v>7</v>
      </c>
      <c r="E132" s="20" t="str">
        <f>TEXT(Attendance_Data[[#This Row],[Date]], "mmm")</f>
        <v>May</v>
      </c>
      <c r="F132" s="20" t="str">
        <f>TEXT(Attendance_Data[[#This Row],[Date]], "dddd")</f>
        <v>Thursday</v>
      </c>
      <c r="G132" s="20">
        <f t="shared" si="2"/>
        <v>1</v>
      </c>
    </row>
    <row r="133" spans="1:7" ht="19.5" x14ac:dyDescent="0.25">
      <c r="A133" s="20" t="s">
        <v>25</v>
      </c>
      <c r="B133" s="20" t="s">
        <v>1</v>
      </c>
      <c r="C133" s="20" t="s">
        <v>2</v>
      </c>
      <c r="D133" s="20" t="s">
        <v>20</v>
      </c>
      <c r="E133" s="20" t="str">
        <f>TEXT(Attendance_Data[[#This Row],[Date]], "mmm")</f>
        <v>May</v>
      </c>
      <c r="F133" s="20" t="str">
        <f>TEXT(Attendance_Data[[#This Row],[Date]], "dddd")</f>
        <v>Sunday</v>
      </c>
      <c r="G133" s="20">
        <f t="shared" si="2"/>
        <v>0</v>
      </c>
    </row>
    <row r="134" spans="1:7" ht="19.5" x14ac:dyDescent="0.25">
      <c r="A134" s="20" t="s">
        <v>0</v>
      </c>
      <c r="B134" s="20" t="s">
        <v>43</v>
      </c>
      <c r="C134" s="20" t="s">
        <v>28</v>
      </c>
      <c r="D134" s="20" t="s">
        <v>7</v>
      </c>
      <c r="E134" s="20" t="str">
        <f>TEXT(Attendance_Data[[#This Row],[Date]], "mmm")</f>
        <v>May</v>
      </c>
      <c r="F134" s="20" t="str">
        <f>TEXT(Attendance_Data[[#This Row],[Date]], "dddd")</f>
        <v>Wednesday</v>
      </c>
      <c r="G134" s="20">
        <f t="shared" si="2"/>
        <v>1</v>
      </c>
    </row>
    <row r="135" spans="1:7" ht="19.5" x14ac:dyDescent="0.25">
      <c r="A135" s="20" t="s">
        <v>42</v>
      </c>
      <c r="B135" s="20" t="s">
        <v>30</v>
      </c>
      <c r="C135" s="20" t="s">
        <v>24</v>
      </c>
      <c r="D135" s="20" t="s">
        <v>37</v>
      </c>
      <c r="E135" s="20" t="str">
        <f>TEXT(Attendance_Data[[#This Row],[Date]], "mmm")</f>
        <v>May</v>
      </c>
      <c r="F135" s="20" t="str">
        <f>TEXT(Attendance_Data[[#This Row],[Date]], "dddd")</f>
        <v>Tuesday</v>
      </c>
      <c r="G135" s="20">
        <f t="shared" si="2"/>
        <v>0</v>
      </c>
    </row>
    <row r="136" spans="1:7" ht="19.5" x14ac:dyDescent="0.25">
      <c r="A136" s="20" t="s">
        <v>48</v>
      </c>
      <c r="B136" s="20" t="s">
        <v>13</v>
      </c>
      <c r="C136" s="20" t="s">
        <v>14</v>
      </c>
      <c r="D136" s="20" t="s">
        <v>3</v>
      </c>
      <c r="E136" s="20" t="str">
        <f>TEXT(Attendance_Data[[#This Row],[Date]], "mmm")</f>
        <v>May</v>
      </c>
      <c r="F136" s="20" t="str">
        <f>TEXT(Attendance_Data[[#This Row],[Date]], "dddd")</f>
        <v>Sunday</v>
      </c>
      <c r="G136" s="20">
        <f t="shared" si="2"/>
        <v>1</v>
      </c>
    </row>
    <row r="137" spans="1:7" ht="19.5" x14ac:dyDescent="0.25">
      <c r="A137" s="20" t="s">
        <v>31</v>
      </c>
      <c r="B137" s="20" t="s">
        <v>30</v>
      </c>
      <c r="C137" s="20" t="s">
        <v>24</v>
      </c>
      <c r="D137" s="20" t="s">
        <v>7</v>
      </c>
      <c r="E137" s="20" t="str">
        <f>TEXT(Attendance_Data[[#This Row],[Date]], "mmm")</f>
        <v>May</v>
      </c>
      <c r="F137" s="20" t="str">
        <f>TEXT(Attendance_Data[[#This Row],[Date]], "dddd")</f>
        <v>Tuesday</v>
      </c>
      <c r="G137" s="20">
        <f t="shared" si="2"/>
        <v>1</v>
      </c>
    </row>
    <row r="138" spans="1:7" ht="19.5" x14ac:dyDescent="0.25">
      <c r="A138" s="20" t="s">
        <v>0</v>
      </c>
      <c r="B138" s="20" t="s">
        <v>13</v>
      </c>
      <c r="C138" s="20" t="s">
        <v>14</v>
      </c>
      <c r="D138" s="20" t="s">
        <v>7</v>
      </c>
      <c r="E138" s="20" t="str">
        <f>TEXT(Attendance_Data[[#This Row],[Date]], "mmm")</f>
        <v>May</v>
      </c>
      <c r="F138" s="20" t="str">
        <f>TEXT(Attendance_Data[[#This Row],[Date]], "dddd")</f>
        <v>Wednesday</v>
      </c>
      <c r="G138" s="20">
        <f t="shared" si="2"/>
        <v>1</v>
      </c>
    </row>
    <row r="139" spans="1:7" ht="19.5" x14ac:dyDescent="0.25">
      <c r="A139" s="20" t="s">
        <v>10</v>
      </c>
      <c r="B139" s="20" t="s">
        <v>11</v>
      </c>
      <c r="C139" s="20" t="s">
        <v>6</v>
      </c>
      <c r="D139" s="20" t="s">
        <v>7</v>
      </c>
      <c r="E139" s="20" t="str">
        <f>TEXT(Attendance_Data[[#This Row],[Date]], "mmm")</f>
        <v>May</v>
      </c>
      <c r="F139" s="20" t="str">
        <f>TEXT(Attendance_Data[[#This Row],[Date]], "dddd")</f>
        <v>Friday</v>
      </c>
      <c r="G139" s="20">
        <f t="shared" si="2"/>
        <v>1</v>
      </c>
    </row>
    <row r="140" spans="1:7" ht="19.5" x14ac:dyDescent="0.25">
      <c r="A140" s="20" t="s">
        <v>32</v>
      </c>
      <c r="B140" s="20" t="s">
        <v>30</v>
      </c>
      <c r="C140" s="20" t="s">
        <v>24</v>
      </c>
      <c r="D140" s="20" t="s">
        <v>7</v>
      </c>
      <c r="E140" s="20" t="str">
        <f>TEXT(Attendance_Data[[#This Row],[Date]], "mmm")</f>
        <v>May</v>
      </c>
      <c r="F140" s="20" t="str">
        <f>TEXT(Attendance_Data[[#This Row],[Date]], "dddd")</f>
        <v>Tuesday</v>
      </c>
      <c r="G140" s="20">
        <f t="shared" si="2"/>
        <v>1</v>
      </c>
    </row>
    <row r="141" spans="1:7" ht="19.5" x14ac:dyDescent="0.25">
      <c r="A141" s="20" t="s">
        <v>42</v>
      </c>
      <c r="B141" s="20" t="s">
        <v>5</v>
      </c>
      <c r="C141" s="20" t="s">
        <v>6</v>
      </c>
      <c r="D141" s="20" t="s">
        <v>37</v>
      </c>
      <c r="E141" s="20" t="str">
        <f>TEXT(Attendance_Data[[#This Row],[Date]], "mmm")</f>
        <v>May</v>
      </c>
      <c r="F141" s="20" t="str">
        <f>TEXT(Attendance_Data[[#This Row],[Date]], "dddd")</f>
        <v>Tuesday</v>
      </c>
      <c r="G141" s="20">
        <f t="shared" si="2"/>
        <v>0</v>
      </c>
    </row>
    <row r="142" spans="1:7" ht="19.5" x14ac:dyDescent="0.25">
      <c r="A142" s="20" t="s">
        <v>36</v>
      </c>
      <c r="B142" s="20" t="s">
        <v>16</v>
      </c>
      <c r="C142" s="20" t="s">
        <v>14</v>
      </c>
      <c r="D142" s="20" t="s">
        <v>7</v>
      </c>
      <c r="E142" s="20" t="str">
        <f>TEXT(Attendance_Data[[#This Row],[Date]], "mmm")</f>
        <v>May</v>
      </c>
      <c r="F142" s="20" t="str">
        <f>TEXT(Attendance_Data[[#This Row],[Date]], "dddd")</f>
        <v>Saturday</v>
      </c>
      <c r="G142" s="20">
        <f t="shared" si="2"/>
        <v>1</v>
      </c>
    </row>
    <row r="143" spans="1:7" ht="19.5" x14ac:dyDescent="0.25">
      <c r="A143" s="20" t="s">
        <v>29</v>
      </c>
      <c r="B143" s="20" t="s">
        <v>13</v>
      </c>
      <c r="C143" s="20" t="s">
        <v>14</v>
      </c>
      <c r="D143" s="20" t="s">
        <v>7</v>
      </c>
      <c r="E143" s="20" t="str">
        <f>TEXT(Attendance_Data[[#This Row],[Date]], "mmm")</f>
        <v>May</v>
      </c>
      <c r="F143" s="20" t="str">
        <f>TEXT(Attendance_Data[[#This Row],[Date]], "dddd")</f>
        <v>Monday</v>
      </c>
      <c r="G143" s="20">
        <f t="shared" si="2"/>
        <v>1</v>
      </c>
    </row>
    <row r="144" spans="1:7" ht="19.5" x14ac:dyDescent="0.25">
      <c r="A144" s="20" t="s">
        <v>25</v>
      </c>
      <c r="B144" s="20" t="s">
        <v>23</v>
      </c>
      <c r="C144" s="20" t="s">
        <v>24</v>
      </c>
      <c r="D144" s="20" t="s">
        <v>3</v>
      </c>
      <c r="E144" s="20" t="str">
        <f>TEXT(Attendance_Data[[#This Row],[Date]], "mmm")</f>
        <v>May</v>
      </c>
      <c r="F144" s="20" t="str">
        <f>TEXT(Attendance_Data[[#This Row],[Date]], "dddd")</f>
        <v>Sunday</v>
      </c>
      <c r="G144" s="20">
        <f t="shared" si="2"/>
        <v>1</v>
      </c>
    </row>
    <row r="145" spans="1:7" ht="19.5" x14ac:dyDescent="0.25">
      <c r="A145" s="20" t="s">
        <v>45</v>
      </c>
      <c r="B145" s="20" t="s">
        <v>1</v>
      </c>
      <c r="C145" s="20" t="s">
        <v>2</v>
      </c>
      <c r="D145" s="20" t="s">
        <v>7</v>
      </c>
      <c r="E145" s="20" t="str">
        <f>TEXT(Attendance_Data[[#This Row],[Date]], "mmm")</f>
        <v>May</v>
      </c>
      <c r="F145" s="20" t="str">
        <f>TEXT(Attendance_Data[[#This Row],[Date]], "dddd")</f>
        <v>Monday</v>
      </c>
      <c r="G145" s="20">
        <f t="shared" si="2"/>
        <v>1</v>
      </c>
    </row>
    <row r="146" spans="1:7" ht="19.5" x14ac:dyDescent="0.25">
      <c r="A146" s="20" t="s">
        <v>21</v>
      </c>
      <c r="B146" s="20" t="s">
        <v>23</v>
      </c>
      <c r="C146" s="20" t="s">
        <v>24</v>
      </c>
      <c r="D146" s="20" t="s">
        <v>37</v>
      </c>
      <c r="E146" s="20" t="str">
        <f>TEXT(Attendance_Data[[#This Row],[Date]], "mmm")</f>
        <v>May</v>
      </c>
      <c r="F146" s="20" t="str">
        <f>TEXT(Attendance_Data[[#This Row],[Date]], "dddd")</f>
        <v>Friday</v>
      </c>
      <c r="G146" s="20">
        <f t="shared" si="2"/>
        <v>0</v>
      </c>
    </row>
    <row r="147" spans="1:7" ht="19.5" x14ac:dyDescent="0.25">
      <c r="A147" s="20" t="s">
        <v>32</v>
      </c>
      <c r="B147" s="20" t="s">
        <v>11</v>
      </c>
      <c r="C147" s="20" t="s">
        <v>6</v>
      </c>
      <c r="D147" s="20" t="s">
        <v>7</v>
      </c>
      <c r="E147" s="20" t="str">
        <f>TEXT(Attendance_Data[[#This Row],[Date]], "mmm")</f>
        <v>May</v>
      </c>
      <c r="F147" s="20" t="str">
        <f>TEXT(Attendance_Data[[#This Row],[Date]], "dddd")</f>
        <v>Tuesday</v>
      </c>
      <c r="G147" s="20">
        <f t="shared" si="2"/>
        <v>1</v>
      </c>
    </row>
    <row r="148" spans="1:7" ht="19.5" x14ac:dyDescent="0.25">
      <c r="A148" s="20" t="s">
        <v>4</v>
      </c>
      <c r="B148" s="20" t="s">
        <v>13</v>
      </c>
      <c r="C148" s="20" t="s">
        <v>14</v>
      </c>
      <c r="D148" s="20" t="s">
        <v>37</v>
      </c>
      <c r="E148" s="20" t="str">
        <f>TEXT(Attendance_Data[[#This Row],[Date]], "mmm")</f>
        <v>May</v>
      </c>
      <c r="F148" s="20" t="str">
        <f>TEXT(Attendance_Data[[#This Row],[Date]], "dddd")</f>
        <v>Thursday</v>
      </c>
      <c r="G148" s="20">
        <f t="shared" si="2"/>
        <v>0</v>
      </c>
    </row>
    <row r="149" spans="1:7" ht="19.5" x14ac:dyDescent="0.25">
      <c r="A149" s="20" t="s">
        <v>48</v>
      </c>
      <c r="B149" s="20" t="s">
        <v>16</v>
      </c>
      <c r="C149" s="20" t="s">
        <v>14</v>
      </c>
      <c r="D149" s="20" t="s">
        <v>3</v>
      </c>
      <c r="E149" s="20" t="str">
        <f>TEXT(Attendance_Data[[#This Row],[Date]], "mmm")</f>
        <v>May</v>
      </c>
      <c r="F149" s="20" t="str">
        <f>TEXT(Attendance_Data[[#This Row],[Date]], "dddd")</f>
        <v>Sunday</v>
      </c>
      <c r="G149" s="20">
        <f t="shared" si="2"/>
        <v>1</v>
      </c>
    </row>
    <row r="150" spans="1:7" ht="19.5" x14ac:dyDescent="0.25">
      <c r="A150" s="20" t="s">
        <v>42</v>
      </c>
      <c r="B150" s="20" t="s">
        <v>27</v>
      </c>
      <c r="C150" s="20" t="s">
        <v>28</v>
      </c>
      <c r="D150" s="20" t="s">
        <v>7</v>
      </c>
      <c r="E150" s="20" t="str">
        <f>TEXT(Attendance_Data[[#This Row],[Date]], "mmm")</f>
        <v>May</v>
      </c>
      <c r="F150" s="20" t="str">
        <f>TEXT(Attendance_Data[[#This Row],[Date]], "dddd")</f>
        <v>Tuesday</v>
      </c>
      <c r="G150" s="20">
        <f t="shared" si="2"/>
        <v>1</v>
      </c>
    </row>
    <row r="151" spans="1:7" ht="19.5" x14ac:dyDescent="0.25">
      <c r="A151" s="20" t="s">
        <v>33</v>
      </c>
      <c r="B151" s="20" t="s">
        <v>13</v>
      </c>
      <c r="C151" s="20" t="s">
        <v>14</v>
      </c>
      <c r="D151" s="20" t="s">
        <v>7</v>
      </c>
      <c r="E151" s="20" t="str">
        <f>TEXT(Attendance_Data[[#This Row],[Date]], "mmm")</f>
        <v>May</v>
      </c>
      <c r="F151" s="20" t="str">
        <f>TEXT(Attendance_Data[[#This Row],[Date]], "dddd")</f>
        <v>Wednesday</v>
      </c>
      <c r="G151" s="20">
        <f t="shared" si="2"/>
        <v>1</v>
      </c>
    </row>
    <row r="152" spans="1:7" ht="19.5" x14ac:dyDescent="0.25">
      <c r="A152" s="20" t="s">
        <v>32</v>
      </c>
      <c r="B152" s="20" t="s">
        <v>5</v>
      </c>
      <c r="C152" s="20" t="s">
        <v>6</v>
      </c>
      <c r="D152" s="20" t="s">
        <v>7</v>
      </c>
      <c r="E152" s="20" t="str">
        <f>TEXT(Attendance_Data[[#This Row],[Date]], "mmm")</f>
        <v>May</v>
      </c>
      <c r="F152" s="20" t="str">
        <f>TEXT(Attendance_Data[[#This Row],[Date]], "dddd")</f>
        <v>Tuesday</v>
      </c>
      <c r="G152" s="20">
        <f t="shared" si="2"/>
        <v>1</v>
      </c>
    </row>
    <row r="153" spans="1:7" ht="19.5" x14ac:dyDescent="0.25">
      <c r="A153" s="20" t="s">
        <v>15</v>
      </c>
      <c r="B153" s="20" t="s">
        <v>30</v>
      </c>
      <c r="C153" s="20" t="s">
        <v>24</v>
      </c>
      <c r="D153" s="20" t="s">
        <v>7</v>
      </c>
      <c r="E153" s="20" t="str">
        <f>TEXT(Attendance_Data[[#This Row],[Date]], "mmm")</f>
        <v>May</v>
      </c>
      <c r="F153" s="20" t="str">
        <f>TEXT(Attendance_Data[[#This Row],[Date]], "dddd")</f>
        <v>Sunday</v>
      </c>
      <c r="G153" s="20">
        <f t="shared" si="2"/>
        <v>1</v>
      </c>
    </row>
    <row r="154" spans="1:7" ht="19.5" x14ac:dyDescent="0.25">
      <c r="A154" s="20" t="s">
        <v>47</v>
      </c>
      <c r="B154" s="20" t="s">
        <v>23</v>
      </c>
      <c r="C154" s="20" t="s">
        <v>24</v>
      </c>
      <c r="D154" s="20" t="s">
        <v>7</v>
      </c>
      <c r="E154" s="20" t="str">
        <f>TEXT(Attendance_Data[[#This Row],[Date]], "mmm")</f>
        <v>May</v>
      </c>
      <c r="F154" s="20" t="str">
        <f>TEXT(Attendance_Data[[#This Row],[Date]], "dddd")</f>
        <v>Thursday</v>
      </c>
      <c r="G154" s="20">
        <f t="shared" si="2"/>
        <v>1</v>
      </c>
    </row>
    <row r="155" spans="1:7" ht="19.5" x14ac:dyDescent="0.25">
      <c r="A155" s="20" t="s">
        <v>39</v>
      </c>
      <c r="B155" s="20" t="s">
        <v>30</v>
      </c>
      <c r="C155" s="20" t="s">
        <v>24</v>
      </c>
      <c r="D155" s="20" t="s">
        <v>7</v>
      </c>
      <c r="E155" s="20" t="str">
        <f>TEXT(Attendance_Data[[#This Row],[Date]], "mmm")</f>
        <v>May</v>
      </c>
      <c r="F155" s="20" t="str">
        <f>TEXT(Attendance_Data[[#This Row],[Date]], "dddd")</f>
        <v>Thursday</v>
      </c>
      <c r="G155" s="20">
        <f t="shared" si="2"/>
        <v>1</v>
      </c>
    </row>
    <row r="156" spans="1:7" ht="19.5" x14ac:dyDescent="0.25">
      <c r="A156" s="20" t="s">
        <v>17</v>
      </c>
      <c r="B156" s="20" t="s">
        <v>23</v>
      </c>
      <c r="C156" s="20" t="s">
        <v>24</v>
      </c>
      <c r="D156" s="20" t="s">
        <v>7</v>
      </c>
      <c r="E156" s="20" t="str">
        <f>TEXT(Attendance_Data[[#This Row],[Date]], "mmm")</f>
        <v>May</v>
      </c>
      <c r="F156" s="20" t="str">
        <f>TEXT(Attendance_Data[[#This Row],[Date]], "dddd")</f>
        <v>Friday</v>
      </c>
      <c r="G156" s="20">
        <f t="shared" si="2"/>
        <v>1</v>
      </c>
    </row>
    <row r="157" spans="1:7" ht="19.5" x14ac:dyDescent="0.25">
      <c r="A157" s="20" t="s">
        <v>45</v>
      </c>
      <c r="B157" s="20" t="s">
        <v>16</v>
      </c>
      <c r="C157" s="20" t="s">
        <v>14</v>
      </c>
      <c r="D157" s="20" t="s">
        <v>7</v>
      </c>
      <c r="E157" s="20" t="str">
        <f>TEXT(Attendance_Data[[#This Row],[Date]], "mmm")</f>
        <v>May</v>
      </c>
      <c r="F157" s="20" t="str">
        <f>TEXT(Attendance_Data[[#This Row],[Date]], "dddd")</f>
        <v>Monday</v>
      </c>
      <c r="G157" s="20">
        <f t="shared" si="2"/>
        <v>1</v>
      </c>
    </row>
    <row r="158" spans="1:7" ht="19.5" x14ac:dyDescent="0.25">
      <c r="A158" s="20" t="s">
        <v>44</v>
      </c>
      <c r="B158" s="20" t="s">
        <v>5</v>
      </c>
      <c r="C158" s="20" t="s">
        <v>6</v>
      </c>
      <c r="D158" s="20" t="s">
        <v>7</v>
      </c>
      <c r="E158" s="20" t="str">
        <f>TEXT(Attendance_Data[[#This Row],[Date]], "mmm")</f>
        <v>May</v>
      </c>
      <c r="F158" s="20" t="str">
        <f>TEXT(Attendance_Data[[#This Row],[Date]], "dddd")</f>
        <v>Saturday</v>
      </c>
      <c r="G158" s="20">
        <f t="shared" si="2"/>
        <v>1</v>
      </c>
    </row>
    <row r="159" spans="1:7" ht="19.5" x14ac:dyDescent="0.25">
      <c r="A159" s="20" t="s">
        <v>25</v>
      </c>
      <c r="B159" s="20" t="s">
        <v>23</v>
      </c>
      <c r="C159" s="20" t="s">
        <v>24</v>
      </c>
      <c r="D159" s="20" t="s">
        <v>3</v>
      </c>
      <c r="E159" s="20" t="str">
        <f>TEXT(Attendance_Data[[#This Row],[Date]], "mmm")</f>
        <v>May</v>
      </c>
      <c r="F159" s="20" t="str">
        <f>TEXT(Attendance_Data[[#This Row],[Date]], "dddd")</f>
        <v>Sunday</v>
      </c>
      <c r="G159" s="20">
        <f t="shared" si="2"/>
        <v>1</v>
      </c>
    </row>
    <row r="160" spans="1:7" ht="19.5" x14ac:dyDescent="0.25">
      <c r="A160" s="20" t="s">
        <v>26</v>
      </c>
      <c r="B160" s="20" t="s">
        <v>43</v>
      </c>
      <c r="C160" s="20" t="s">
        <v>28</v>
      </c>
      <c r="D160" s="20" t="s">
        <v>7</v>
      </c>
      <c r="E160" s="20" t="str">
        <f>TEXT(Attendance_Data[[#This Row],[Date]], "mmm")</f>
        <v>May</v>
      </c>
      <c r="F160" s="20" t="str">
        <f>TEXT(Attendance_Data[[#This Row],[Date]], "dddd")</f>
        <v>Sunday</v>
      </c>
      <c r="G160" s="20">
        <f t="shared" si="2"/>
        <v>1</v>
      </c>
    </row>
    <row r="161" spans="1:7" ht="19.5" x14ac:dyDescent="0.25">
      <c r="A161" s="20" t="s">
        <v>44</v>
      </c>
      <c r="B161" s="20" t="s">
        <v>23</v>
      </c>
      <c r="C161" s="20" t="s">
        <v>24</v>
      </c>
      <c r="D161" s="20" t="s">
        <v>7</v>
      </c>
      <c r="E161" s="20" t="str">
        <f>TEXT(Attendance_Data[[#This Row],[Date]], "mmm")</f>
        <v>May</v>
      </c>
      <c r="F161" s="20" t="str">
        <f>TEXT(Attendance_Data[[#This Row],[Date]], "dddd")</f>
        <v>Saturday</v>
      </c>
      <c r="G161" s="20">
        <f t="shared" si="2"/>
        <v>1</v>
      </c>
    </row>
    <row r="162" spans="1:7" ht="19.5" x14ac:dyDescent="0.25">
      <c r="A162" s="20" t="s">
        <v>38</v>
      </c>
      <c r="B162" s="20" t="s">
        <v>27</v>
      </c>
      <c r="C162" s="20" t="s">
        <v>28</v>
      </c>
      <c r="D162" s="20" t="s">
        <v>7</v>
      </c>
      <c r="E162" s="20" t="str">
        <f>TEXT(Attendance_Data[[#This Row],[Date]], "mmm")</f>
        <v>May</v>
      </c>
      <c r="F162" s="20" t="str">
        <f>TEXT(Attendance_Data[[#This Row],[Date]], "dddd")</f>
        <v>Thursday</v>
      </c>
      <c r="G162" s="20">
        <f t="shared" si="2"/>
        <v>1</v>
      </c>
    </row>
    <row r="163" spans="1:7" ht="19.5" x14ac:dyDescent="0.25">
      <c r="A163" s="20" t="s">
        <v>31</v>
      </c>
      <c r="B163" s="20" t="s">
        <v>9</v>
      </c>
      <c r="C163" s="20" t="s">
        <v>2</v>
      </c>
      <c r="D163" s="20" t="s">
        <v>7</v>
      </c>
      <c r="E163" s="20" t="str">
        <f>TEXT(Attendance_Data[[#This Row],[Date]], "mmm")</f>
        <v>May</v>
      </c>
      <c r="F163" s="20" t="str">
        <f>TEXT(Attendance_Data[[#This Row],[Date]], "dddd")</f>
        <v>Tuesday</v>
      </c>
      <c r="G163" s="20">
        <f t="shared" si="2"/>
        <v>1</v>
      </c>
    </row>
    <row r="164" spans="1:7" ht="19.5" x14ac:dyDescent="0.25">
      <c r="A164" s="20" t="s">
        <v>19</v>
      </c>
      <c r="B164" s="20" t="s">
        <v>43</v>
      </c>
      <c r="C164" s="20" t="s">
        <v>28</v>
      </c>
      <c r="D164" s="20" t="s">
        <v>7</v>
      </c>
      <c r="E164" s="20" t="str">
        <f>TEXT(Attendance_Data[[#This Row],[Date]], "mmm")</f>
        <v>May</v>
      </c>
      <c r="F164" s="20" t="str">
        <f>TEXT(Attendance_Data[[#This Row],[Date]], "dddd")</f>
        <v>Saturday</v>
      </c>
      <c r="G164" s="20">
        <f t="shared" si="2"/>
        <v>1</v>
      </c>
    </row>
    <row r="165" spans="1:7" ht="19.5" x14ac:dyDescent="0.25">
      <c r="A165" s="20" t="s">
        <v>38</v>
      </c>
      <c r="B165" s="20" t="s">
        <v>23</v>
      </c>
      <c r="C165" s="20" t="s">
        <v>24</v>
      </c>
      <c r="D165" s="20" t="s">
        <v>20</v>
      </c>
      <c r="E165" s="20" t="str">
        <f>TEXT(Attendance_Data[[#This Row],[Date]], "mmm")</f>
        <v>May</v>
      </c>
      <c r="F165" s="20" t="str">
        <f>TEXT(Attendance_Data[[#This Row],[Date]], "dddd")</f>
        <v>Thursday</v>
      </c>
      <c r="G165" s="20">
        <f t="shared" si="2"/>
        <v>0</v>
      </c>
    </row>
    <row r="166" spans="1:7" ht="19.5" x14ac:dyDescent="0.25">
      <c r="A166" s="20" t="s">
        <v>34</v>
      </c>
      <c r="B166" s="20" t="s">
        <v>23</v>
      </c>
      <c r="C166" s="20" t="s">
        <v>24</v>
      </c>
      <c r="D166" s="20" t="s">
        <v>7</v>
      </c>
      <c r="E166" s="20" t="str">
        <f>TEXT(Attendance_Data[[#This Row],[Date]], "mmm")</f>
        <v>May</v>
      </c>
      <c r="F166" s="20" t="str">
        <f>TEXT(Attendance_Data[[#This Row],[Date]], "dddd")</f>
        <v>Saturday</v>
      </c>
      <c r="G166" s="20">
        <f t="shared" si="2"/>
        <v>1</v>
      </c>
    </row>
    <row r="167" spans="1:7" ht="19.5" x14ac:dyDescent="0.25">
      <c r="A167" s="20" t="s">
        <v>46</v>
      </c>
      <c r="B167" s="20" t="s">
        <v>5</v>
      </c>
      <c r="C167" s="20" t="s">
        <v>6</v>
      </c>
      <c r="D167" s="20" t="s">
        <v>7</v>
      </c>
      <c r="E167" s="20" t="str">
        <f>TEXT(Attendance_Data[[#This Row],[Date]], "mmm")</f>
        <v>May</v>
      </c>
      <c r="F167" s="20" t="str">
        <f>TEXT(Attendance_Data[[#This Row],[Date]], "dddd")</f>
        <v>Saturday</v>
      </c>
      <c r="G167" s="20">
        <f t="shared" si="2"/>
        <v>1</v>
      </c>
    </row>
    <row r="168" spans="1:7" ht="19.5" x14ac:dyDescent="0.25">
      <c r="A168" s="20" t="s">
        <v>47</v>
      </c>
      <c r="B168" s="20" t="s">
        <v>13</v>
      </c>
      <c r="C168" s="20" t="s">
        <v>14</v>
      </c>
      <c r="D168" s="20" t="s">
        <v>37</v>
      </c>
      <c r="E168" s="20" t="str">
        <f>TEXT(Attendance_Data[[#This Row],[Date]], "mmm")</f>
        <v>May</v>
      </c>
      <c r="F168" s="20" t="str">
        <f>TEXT(Attendance_Data[[#This Row],[Date]], "dddd")</f>
        <v>Thursday</v>
      </c>
      <c r="G168" s="20">
        <f t="shared" si="2"/>
        <v>0</v>
      </c>
    </row>
    <row r="169" spans="1:7" ht="19.5" x14ac:dyDescent="0.25">
      <c r="A169" s="20" t="s">
        <v>17</v>
      </c>
      <c r="B169" s="20" t="s">
        <v>9</v>
      </c>
      <c r="C169" s="20" t="s">
        <v>2</v>
      </c>
      <c r="D169" s="20" t="s">
        <v>7</v>
      </c>
      <c r="E169" s="20" t="str">
        <f>TEXT(Attendance_Data[[#This Row],[Date]], "mmm")</f>
        <v>May</v>
      </c>
      <c r="F169" s="20" t="str">
        <f>TEXT(Attendance_Data[[#This Row],[Date]], "dddd")</f>
        <v>Friday</v>
      </c>
      <c r="G169" s="20">
        <f t="shared" si="2"/>
        <v>1</v>
      </c>
    </row>
    <row r="170" spans="1:7" ht="19.5" x14ac:dyDescent="0.25">
      <c r="A170" s="20" t="s">
        <v>17</v>
      </c>
      <c r="B170" s="20" t="s">
        <v>9</v>
      </c>
      <c r="C170" s="20" t="s">
        <v>2</v>
      </c>
      <c r="D170" s="20" t="s">
        <v>7</v>
      </c>
      <c r="E170" s="20" t="str">
        <f>TEXT(Attendance_Data[[#This Row],[Date]], "mmm")</f>
        <v>May</v>
      </c>
      <c r="F170" s="20" t="str">
        <f>TEXT(Attendance_Data[[#This Row],[Date]], "dddd")</f>
        <v>Friday</v>
      </c>
      <c r="G170" s="20">
        <f t="shared" si="2"/>
        <v>1</v>
      </c>
    </row>
    <row r="171" spans="1:7" ht="19.5" x14ac:dyDescent="0.25">
      <c r="A171" s="20" t="s">
        <v>31</v>
      </c>
      <c r="B171" s="20" t="s">
        <v>9</v>
      </c>
      <c r="C171" s="20" t="s">
        <v>2</v>
      </c>
      <c r="D171" s="20" t="s">
        <v>7</v>
      </c>
      <c r="E171" s="20" t="str">
        <f>TEXT(Attendance_Data[[#This Row],[Date]], "mmm")</f>
        <v>May</v>
      </c>
      <c r="F171" s="20" t="str">
        <f>TEXT(Attendance_Data[[#This Row],[Date]], "dddd")</f>
        <v>Tuesday</v>
      </c>
      <c r="G171" s="20">
        <f t="shared" si="2"/>
        <v>1</v>
      </c>
    </row>
    <row r="172" spans="1:7" ht="19.5" x14ac:dyDescent="0.25">
      <c r="A172" s="20" t="s">
        <v>36</v>
      </c>
      <c r="B172" s="20" t="s">
        <v>43</v>
      </c>
      <c r="C172" s="20" t="s">
        <v>28</v>
      </c>
      <c r="D172" s="20" t="s">
        <v>7</v>
      </c>
      <c r="E172" s="20" t="str">
        <f>TEXT(Attendance_Data[[#This Row],[Date]], "mmm")</f>
        <v>May</v>
      </c>
      <c r="F172" s="20" t="str">
        <f>TEXT(Attendance_Data[[#This Row],[Date]], "dddd")</f>
        <v>Saturday</v>
      </c>
      <c r="G172" s="20">
        <f t="shared" si="2"/>
        <v>1</v>
      </c>
    </row>
    <row r="173" spans="1:7" ht="19.5" x14ac:dyDescent="0.25">
      <c r="A173" s="20" t="s">
        <v>39</v>
      </c>
      <c r="B173" s="20" t="s">
        <v>43</v>
      </c>
      <c r="C173" s="20" t="s">
        <v>28</v>
      </c>
      <c r="D173" s="20" t="s">
        <v>7</v>
      </c>
      <c r="E173" s="20" t="str">
        <f>TEXT(Attendance_Data[[#This Row],[Date]], "mmm")</f>
        <v>May</v>
      </c>
      <c r="F173" s="20" t="str">
        <f>TEXT(Attendance_Data[[#This Row],[Date]], "dddd")</f>
        <v>Thursday</v>
      </c>
      <c r="G173" s="20">
        <f t="shared" si="2"/>
        <v>1</v>
      </c>
    </row>
    <row r="174" spans="1:7" ht="19.5" x14ac:dyDescent="0.25">
      <c r="A174" s="20" t="s">
        <v>45</v>
      </c>
      <c r="B174" s="20" t="s">
        <v>23</v>
      </c>
      <c r="C174" s="20" t="s">
        <v>24</v>
      </c>
      <c r="D174" s="20" t="s">
        <v>7</v>
      </c>
      <c r="E174" s="20" t="str">
        <f>TEXT(Attendance_Data[[#This Row],[Date]], "mmm")</f>
        <v>May</v>
      </c>
      <c r="F174" s="20" t="str">
        <f>TEXT(Attendance_Data[[#This Row],[Date]], "dddd")</f>
        <v>Monday</v>
      </c>
      <c r="G174" s="20">
        <f t="shared" si="2"/>
        <v>1</v>
      </c>
    </row>
    <row r="175" spans="1:7" ht="19.5" x14ac:dyDescent="0.25">
      <c r="A175" s="20" t="s">
        <v>48</v>
      </c>
      <c r="B175" s="20" t="s">
        <v>27</v>
      </c>
      <c r="C175" s="20" t="s">
        <v>28</v>
      </c>
      <c r="D175" s="20" t="s">
        <v>7</v>
      </c>
      <c r="E175" s="20" t="str">
        <f>TEXT(Attendance_Data[[#This Row],[Date]], "mmm")</f>
        <v>May</v>
      </c>
      <c r="F175" s="20" t="str">
        <f>TEXT(Attendance_Data[[#This Row],[Date]], "dddd")</f>
        <v>Sunday</v>
      </c>
      <c r="G175" s="20">
        <f t="shared" si="2"/>
        <v>1</v>
      </c>
    </row>
    <row r="176" spans="1:7" ht="19.5" x14ac:dyDescent="0.25">
      <c r="A176" s="20" t="s">
        <v>19</v>
      </c>
      <c r="B176" s="20" t="s">
        <v>30</v>
      </c>
      <c r="C176" s="20" t="s">
        <v>24</v>
      </c>
      <c r="D176" s="20" t="s">
        <v>3</v>
      </c>
      <c r="E176" s="20" t="str">
        <f>TEXT(Attendance_Data[[#This Row],[Date]], "mmm")</f>
        <v>May</v>
      </c>
      <c r="F176" s="20" t="str">
        <f>TEXT(Attendance_Data[[#This Row],[Date]], "dddd")</f>
        <v>Saturday</v>
      </c>
      <c r="G176" s="20">
        <f t="shared" si="2"/>
        <v>1</v>
      </c>
    </row>
    <row r="177" spans="1:7" ht="19.5" x14ac:dyDescent="0.25">
      <c r="A177" s="20" t="s">
        <v>19</v>
      </c>
      <c r="B177" s="20" t="s">
        <v>23</v>
      </c>
      <c r="C177" s="20" t="s">
        <v>24</v>
      </c>
      <c r="D177" s="20" t="s">
        <v>7</v>
      </c>
      <c r="E177" s="20" t="str">
        <f>TEXT(Attendance_Data[[#This Row],[Date]], "mmm")</f>
        <v>May</v>
      </c>
      <c r="F177" s="20" t="str">
        <f>TEXT(Attendance_Data[[#This Row],[Date]], "dddd")</f>
        <v>Saturday</v>
      </c>
      <c r="G177" s="20">
        <f t="shared" si="2"/>
        <v>1</v>
      </c>
    </row>
    <row r="178" spans="1:7" ht="19.5" x14ac:dyDescent="0.25">
      <c r="A178" s="20" t="s">
        <v>26</v>
      </c>
      <c r="B178" s="20" t="s">
        <v>27</v>
      </c>
      <c r="C178" s="20" t="s">
        <v>28</v>
      </c>
      <c r="D178" s="20" t="s">
        <v>7</v>
      </c>
      <c r="E178" s="20" t="str">
        <f>TEXT(Attendance_Data[[#This Row],[Date]], "mmm")</f>
        <v>May</v>
      </c>
      <c r="F178" s="20" t="str">
        <f>TEXT(Attendance_Data[[#This Row],[Date]], "dddd")</f>
        <v>Sunday</v>
      </c>
      <c r="G178" s="20">
        <f t="shared" si="2"/>
        <v>1</v>
      </c>
    </row>
    <row r="179" spans="1:7" ht="19.5" x14ac:dyDescent="0.25">
      <c r="A179" s="20" t="s">
        <v>32</v>
      </c>
      <c r="B179" s="20" t="s">
        <v>23</v>
      </c>
      <c r="C179" s="20" t="s">
        <v>24</v>
      </c>
      <c r="D179" s="20" t="s">
        <v>37</v>
      </c>
      <c r="E179" s="20" t="str">
        <f>TEXT(Attendance_Data[[#This Row],[Date]], "mmm")</f>
        <v>May</v>
      </c>
      <c r="F179" s="20" t="str">
        <f>TEXT(Attendance_Data[[#This Row],[Date]], "dddd")</f>
        <v>Tuesday</v>
      </c>
      <c r="G179" s="20">
        <f t="shared" si="2"/>
        <v>0</v>
      </c>
    </row>
    <row r="180" spans="1:7" ht="19.5" x14ac:dyDescent="0.25">
      <c r="A180" s="20" t="s">
        <v>42</v>
      </c>
      <c r="B180" s="20" t="s">
        <v>30</v>
      </c>
      <c r="C180" s="20" t="s">
        <v>24</v>
      </c>
      <c r="D180" s="20" t="s">
        <v>7</v>
      </c>
      <c r="E180" s="20" t="str">
        <f>TEXT(Attendance_Data[[#This Row],[Date]], "mmm")</f>
        <v>May</v>
      </c>
      <c r="F180" s="20" t="str">
        <f>TEXT(Attendance_Data[[#This Row],[Date]], "dddd")</f>
        <v>Tuesday</v>
      </c>
      <c r="G180" s="20">
        <f t="shared" si="2"/>
        <v>1</v>
      </c>
    </row>
    <row r="181" spans="1:7" ht="19.5" x14ac:dyDescent="0.25">
      <c r="A181" s="20" t="s">
        <v>15</v>
      </c>
      <c r="B181" s="20" t="s">
        <v>23</v>
      </c>
      <c r="C181" s="20" t="s">
        <v>24</v>
      </c>
      <c r="D181" s="20" t="s">
        <v>37</v>
      </c>
      <c r="E181" s="20" t="str">
        <f>TEXT(Attendance_Data[[#This Row],[Date]], "mmm")</f>
        <v>May</v>
      </c>
      <c r="F181" s="20" t="str">
        <f>TEXT(Attendance_Data[[#This Row],[Date]], "dddd")</f>
        <v>Sunday</v>
      </c>
      <c r="G181" s="20">
        <f t="shared" si="2"/>
        <v>0</v>
      </c>
    </row>
    <row r="182" spans="1:7" ht="19.5" x14ac:dyDescent="0.25">
      <c r="A182" s="20" t="s">
        <v>38</v>
      </c>
      <c r="B182" s="20" t="s">
        <v>30</v>
      </c>
      <c r="C182" s="20" t="s">
        <v>24</v>
      </c>
      <c r="D182" s="20" t="s">
        <v>7</v>
      </c>
      <c r="E182" s="20" t="str">
        <f>TEXT(Attendance_Data[[#This Row],[Date]], "mmm")</f>
        <v>May</v>
      </c>
      <c r="F182" s="20" t="str">
        <f>TEXT(Attendance_Data[[#This Row],[Date]], "dddd")</f>
        <v>Thursday</v>
      </c>
      <c r="G182" s="20">
        <f t="shared" si="2"/>
        <v>1</v>
      </c>
    </row>
    <row r="183" spans="1:7" ht="19.5" x14ac:dyDescent="0.25">
      <c r="A183" s="20" t="s">
        <v>38</v>
      </c>
      <c r="B183" s="20" t="s">
        <v>13</v>
      </c>
      <c r="C183" s="20" t="s">
        <v>14</v>
      </c>
      <c r="D183" s="20" t="s">
        <v>3</v>
      </c>
      <c r="E183" s="20" t="str">
        <f>TEXT(Attendance_Data[[#This Row],[Date]], "mmm")</f>
        <v>May</v>
      </c>
      <c r="F183" s="20" t="str">
        <f>TEXT(Attendance_Data[[#This Row],[Date]], "dddd")</f>
        <v>Thursday</v>
      </c>
      <c r="G183" s="20">
        <f t="shared" si="2"/>
        <v>1</v>
      </c>
    </row>
    <row r="184" spans="1:7" ht="19.5" x14ac:dyDescent="0.25">
      <c r="A184" s="20" t="s">
        <v>36</v>
      </c>
      <c r="B184" s="20" t="s">
        <v>27</v>
      </c>
      <c r="C184" s="20" t="s">
        <v>28</v>
      </c>
      <c r="D184" s="20" t="s">
        <v>3</v>
      </c>
      <c r="E184" s="20" t="str">
        <f>TEXT(Attendance_Data[[#This Row],[Date]], "mmm")</f>
        <v>May</v>
      </c>
      <c r="F184" s="20" t="str">
        <f>TEXT(Attendance_Data[[#This Row],[Date]], "dddd")</f>
        <v>Saturday</v>
      </c>
      <c r="G184" s="20">
        <f t="shared" si="2"/>
        <v>1</v>
      </c>
    </row>
    <row r="185" spans="1:7" ht="19.5" x14ac:dyDescent="0.25">
      <c r="A185" s="20" t="s">
        <v>15</v>
      </c>
      <c r="B185" s="20" t="s">
        <v>1</v>
      </c>
      <c r="C185" s="20" t="s">
        <v>2</v>
      </c>
      <c r="D185" s="20" t="s">
        <v>37</v>
      </c>
      <c r="E185" s="20" t="str">
        <f>TEXT(Attendance_Data[[#This Row],[Date]], "mmm")</f>
        <v>May</v>
      </c>
      <c r="F185" s="20" t="str">
        <f>TEXT(Attendance_Data[[#This Row],[Date]], "dddd")</f>
        <v>Sunday</v>
      </c>
      <c r="G185" s="20">
        <f t="shared" si="2"/>
        <v>0</v>
      </c>
    </row>
    <row r="186" spans="1:7" ht="19.5" x14ac:dyDescent="0.25">
      <c r="A186" s="20" t="s">
        <v>33</v>
      </c>
      <c r="B186" s="20" t="s">
        <v>30</v>
      </c>
      <c r="C186" s="20" t="s">
        <v>24</v>
      </c>
      <c r="D186" s="20" t="s">
        <v>20</v>
      </c>
      <c r="E186" s="20" t="str">
        <f>TEXT(Attendance_Data[[#This Row],[Date]], "mmm")</f>
        <v>May</v>
      </c>
      <c r="F186" s="20" t="str">
        <f>TEXT(Attendance_Data[[#This Row],[Date]], "dddd")</f>
        <v>Wednesday</v>
      </c>
      <c r="G186" s="20">
        <f t="shared" si="2"/>
        <v>0</v>
      </c>
    </row>
    <row r="187" spans="1:7" ht="19.5" x14ac:dyDescent="0.25">
      <c r="A187" s="20" t="s">
        <v>45</v>
      </c>
      <c r="B187" s="20" t="s">
        <v>16</v>
      </c>
      <c r="C187" s="20" t="s">
        <v>14</v>
      </c>
      <c r="D187" s="20" t="s">
        <v>7</v>
      </c>
      <c r="E187" s="20" t="str">
        <f>TEXT(Attendance_Data[[#This Row],[Date]], "mmm")</f>
        <v>May</v>
      </c>
      <c r="F187" s="20" t="str">
        <f>TEXT(Attendance_Data[[#This Row],[Date]], "dddd")</f>
        <v>Monday</v>
      </c>
      <c r="G187" s="20">
        <f t="shared" si="2"/>
        <v>1</v>
      </c>
    </row>
    <row r="188" spans="1:7" ht="19.5" x14ac:dyDescent="0.25">
      <c r="A188" s="20" t="s">
        <v>46</v>
      </c>
      <c r="B188" s="20" t="s">
        <v>16</v>
      </c>
      <c r="C188" s="20" t="s">
        <v>14</v>
      </c>
      <c r="D188" s="20" t="s">
        <v>37</v>
      </c>
      <c r="E188" s="20" t="str">
        <f>TEXT(Attendance_Data[[#This Row],[Date]], "mmm")</f>
        <v>May</v>
      </c>
      <c r="F188" s="20" t="str">
        <f>TEXT(Attendance_Data[[#This Row],[Date]], "dddd")</f>
        <v>Saturday</v>
      </c>
      <c r="G188" s="20">
        <f t="shared" si="2"/>
        <v>0</v>
      </c>
    </row>
    <row r="189" spans="1:7" ht="19.5" x14ac:dyDescent="0.25">
      <c r="A189" s="20" t="s">
        <v>35</v>
      </c>
      <c r="B189" s="20" t="s">
        <v>9</v>
      </c>
      <c r="C189" s="20" t="s">
        <v>2</v>
      </c>
      <c r="D189" s="20" t="s">
        <v>3</v>
      </c>
      <c r="E189" s="20" t="str">
        <f>TEXT(Attendance_Data[[#This Row],[Date]], "mmm")</f>
        <v>May</v>
      </c>
      <c r="F189" s="20" t="str">
        <f>TEXT(Attendance_Data[[#This Row],[Date]], "dddd")</f>
        <v>Wednesday</v>
      </c>
      <c r="G189" s="20">
        <f t="shared" si="2"/>
        <v>1</v>
      </c>
    </row>
    <row r="190" spans="1:7" ht="19.5" x14ac:dyDescent="0.25">
      <c r="A190" s="20" t="s">
        <v>8</v>
      </c>
      <c r="B190" s="20" t="s">
        <v>13</v>
      </c>
      <c r="C190" s="20" t="s">
        <v>14</v>
      </c>
      <c r="D190" s="20" t="s">
        <v>7</v>
      </c>
      <c r="E190" s="20" t="str">
        <f>TEXT(Attendance_Data[[#This Row],[Date]], "mmm")</f>
        <v>May</v>
      </c>
      <c r="F190" s="20" t="str">
        <f>TEXT(Attendance_Data[[#This Row],[Date]], "dddd")</f>
        <v>Wednesday</v>
      </c>
      <c r="G190" s="20">
        <f t="shared" si="2"/>
        <v>1</v>
      </c>
    </row>
    <row r="191" spans="1:7" ht="19.5" x14ac:dyDescent="0.25">
      <c r="A191" s="20" t="s">
        <v>44</v>
      </c>
      <c r="B191" s="20" t="s">
        <v>11</v>
      </c>
      <c r="C191" s="20" t="s">
        <v>6</v>
      </c>
      <c r="D191" s="20" t="s">
        <v>7</v>
      </c>
      <c r="E191" s="20" t="str">
        <f>TEXT(Attendance_Data[[#This Row],[Date]], "mmm")</f>
        <v>May</v>
      </c>
      <c r="F191" s="20" t="str">
        <f>TEXT(Attendance_Data[[#This Row],[Date]], "dddd")</f>
        <v>Saturday</v>
      </c>
      <c r="G191" s="20">
        <f t="shared" si="2"/>
        <v>1</v>
      </c>
    </row>
    <row r="192" spans="1:7" ht="19.5" x14ac:dyDescent="0.25">
      <c r="A192" s="20" t="s">
        <v>17</v>
      </c>
      <c r="B192" s="20" t="s">
        <v>9</v>
      </c>
      <c r="C192" s="20" t="s">
        <v>2</v>
      </c>
      <c r="D192" s="20" t="s">
        <v>20</v>
      </c>
      <c r="E192" s="20" t="str">
        <f>TEXT(Attendance_Data[[#This Row],[Date]], "mmm")</f>
        <v>May</v>
      </c>
      <c r="F192" s="20" t="str">
        <f>TEXT(Attendance_Data[[#This Row],[Date]], "dddd")</f>
        <v>Friday</v>
      </c>
      <c r="G192" s="20">
        <f t="shared" si="2"/>
        <v>0</v>
      </c>
    </row>
    <row r="193" spans="1:7" ht="19.5" x14ac:dyDescent="0.25">
      <c r="A193" s="20" t="s">
        <v>35</v>
      </c>
      <c r="B193" s="20" t="s">
        <v>30</v>
      </c>
      <c r="C193" s="20" t="s">
        <v>24</v>
      </c>
      <c r="D193" s="20" t="s">
        <v>7</v>
      </c>
      <c r="E193" s="20" t="str">
        <f>TEXT(Attendance_Data[[#This Row],[Date]], "mmm")</f>
        <v>May</v>
      </c>
      <c r="F193" s="20" t="str">
        <f>TEXT(Attendance_Data[[#This Row],[Date]], "dddd")</f>
        <v>Wednesday</v>
      </c>
      <c r="G193" s="20">
        <f t="shared" si="2"/>
        <v>1</v>
      </c>
    </row>
    <row r="194" spans="1:7" ht="19.5" x14ac:dyDescent="0.25">
      <c r="A194" s="20" t="s">
        <v>41</v>
      </c>
      <c r="B194" s="20" t="s">
        <v>1</v>
      </c>
      <c r="C194" s="20" t="s">
        <v>2</v>
      </c>
      <c r="D194" s="20" t="s">
        <v>7</v>
      </c>
      <c r="E194" s="20" t="str">
        <f>TEXT(Attendance_Data[[#This Row],[Date]], "mmm")</f>
        <v>May</v>
      </c>
      <c r="F194" s="20" t="str">
        <f>TEXT(Attendance_Data[[#This Row],[Date]], "dddd")</f>
        <v>Monday</v>
      </c>
      <c r="G194" s="20">
        <f t="shared" ref="G194:G257" si="3">IF(OR(D194="Present", D194="Late"),1,0)</f>
        <v>1</v>
      </c>
    </row>
    <row r="195" spans="1:7" ht="19.5" x14ac:dyDescent="0.25">
      <c r="A195" s="20" t="s">
        <v>48</v>
      </c>
      <c r="B195" s="20" t="s">
        <v>30</v>
      </c>
      <c r="C195" s="20" t="s">
        <v>24</v>
      </c>
      <c r="D195" s="20" t="s">
        <v>7</v>
      </c>
      <c r="E195" s="20" t="str">
        <f>TEXT(Attendance_Data[[#This Row],[Date]], "mmm")</f>
        <v>May</v>
      </c>
      <c r="F195" s="20" t="str">
        <f>TEXT(Attendance_Data[[#This Row],[Date]], "dddd")</f>
        <v>Sunday</v>
      </c>
      <c r="G195" s="20">
        <f t="shared" si="3"/>
        <v>1</v>
      </c>
    </row>
    <row r="196" spans="1:7" ht="19.5" x14ac:dyDescent="0.25">
      <c r="A196" s="20" t="s">
        <v>21</v>
      </c>
      <c r="B196" s="20" t="s">
        <v>27</v>
      </c>
      <c r="C196" s="20" t="s">
        <v>28</v>
      </c>
      <c r="D196" s="20" t="s">
        <v>7</v>
      </c>
      <c r="E196" s="20" t="str">
        <f>TEXT(Attendance_Data[[#This Row],[Date]], "mmm")</f>
        <v>May</v>
      </c>
      <c r="F196" s="20" t="str">
        <f>TEXT(Attendance_Data[[#This Row],[Date]], "dddd")</f>
        <v>Friday</v>
      </c>
      <c r="G196" s="20">
        <f t="shared" si="3"/>
        <v>1</v>
      </c>
    </row>
    <row r="197" spans="1:7" ht="19.5" x14ac:dyDescent="0.25">
      <c r="A197" s="20" t="s">
        <v>17</v>
      </c>
      <c r="B197" s="20" t="s">
        <v>5</v>
      </c>
      <c r="C197" s="20" t="s">
        <v>6</v>
      </c>
      <c r="D197" s="20" t="s">
        <v>7</v>
      </c>
      <c r="E197" s="20" t="str">
        <f>TEXT(Attendance_Data[[#This Row],[Date]], "mmm")</f>
        <v>May</v>
      </c>
      <c r="F197" s="20" t="str">
        <f>TEXT(Attendance_Data[[#This Row],[Date]], "dddd")</f>
        <v>Friday</v>
      </c>
      <c r="G197" s="20">
        <f t="shared" si="3"/>
        <v>1</v>
      </c>
    </row>
    <row r="198" spans="1:7" ht="19.5" x14ac:dyDescent="0.25">
      <c r="A198" s="20" t="s">
        <v>42</v>
      </c>
      <c r="B198" s="20" t="s">
        <v>16</v>
      </c>
      <c r="C198" s="20" t="s">
        <v>14</v>
      </c>
      <c r="D198" s="20" t="s">
        <v>7</v>
      </c>
      <c r="E198" s="20" t="str">
        <f>TEXT(Attendance_Data[[#This Row],[Date]], "mmm")</f>
        <v>May</v>
      </c>
      <c r="F198" s="20" t="str">
        <f>TEXT(Attendance_Data[[#This Row],[Date]], "dddd")</f>
        <v>Tuesday</v>
      </c>
      <c r="G198" s="20">
        <f t="shared" si="3"/>
        <v>1</v>
      </c>
    </row>
    <row r="199" spans="1:7" ht="19.5" x14ac:dyDescent="0.25">
      <c r="A199" s="20" t="s">
        <v>38</v>
      </c>
      <c r="B199" s="20" t="s">
        <v>23</v>
      </c>
      <c r="C199" s="20" t="s">
        <v>24</v>
      </c>
      <c r="D199" s="20" t="s">
        <v>7</v>
      </c>
      <c r="E199" s="20" t="str">
        <f>TEXT(Attendance_Data[[#This Row],[Date]], "mmm")</f>
        <v>May</v>
      </c>
      <c r="F199" s="20" t="str">
        <f>TEXT(Attendance_Data[[#This Row],[Date]], "dddd")</f>
        <v>Thursday</v>
      </c>
      <c r="G199" s="20">
        <f t="shared" si="3"/>
        <v>1</v>
      </c>
    </row>
    <row r="200" spans="1:7" ht="19.5" x14ac:dyDescent="0.25">
      <c r="A200" s="20" t="s">
        <v>22</v>
      </c>
      <c r="B200" s="20" t="s">
        <v>23</v>
      </c>
      <c r="C200" s="20" t="s">
        <v>24</v>
      </c>
      <c r="D200" s="20" t="s">
        <v>7</v>
      </c>
      <c r="E200" s="20" t="str">
        <f>TEXT(Attendance_Data[[#This Row],[Date]], "mmm")</f>
        <v>May</v>
      </c>
      <c r="F200" s="20" t="str">
        <f>TEXT(Attendance_Data[[#This Row],[Date]], "dddd")</f>
        <v>Friday</v>
      </c>
      <c r="G200" s="20">
        <f t="shared" si="3"/>
        <v>1</v>
      </c>
    </row>
    <row r="201" spans="1:7" ht="19.5" x14ac:dyDescent="0.25">
      <c r="A201" s="20" t="s">
        <v>15</v>
      </c>
      <c r="B201" s="20" t="s">
        <v>16</v>
      </c>
      <c r="C201" s="20" t="s">
        <v>14</v>
      </c>
      <c r="D201" s="20" t="s">
        <v>37</v>
      </c>
      <c r="E201" s="20" t="str">
        <f>TEXT(Attendance_Data[[#This Row],[Date]], "mmm")</f>
        <v>May</v>
      </c>
      <c r="F201" s="20" t="str">
        <f>TEXT(Attendance_Data[[#This Row],[Date]], "dddd")</f>
        <v>Sunday</v>
      </c>
      <c r="G201" s="20">
        <f t="shared" si="3"/>
        <v>0</v>
      </c>
    </row>
    <row r="202" spans="1:7" ht="19.5" x14ac:dyDescent="0.25">
      <c r="A202" s="20" t="s">
        <v>12</v>
      </c>
      <c r="B202" s="20" t="s">
        <v>11</v>
      </c>
      <c r="C202" s="20" t="s">
        <v>6</v>
      </c>
      <c r="D202" s="20" t="s">
        <v>37</v>
      </c>
      <c r="E202" s="20" t="str">
        <f>TEXT(Attendance_Data[[#This Row],[Date]], "mmm")</f>
        <v>May</v>
      </c>
      <c r="F202" s="20" t="str">
        <f>TEXT(Attendance_Data[[#This Row],[Date]], "dddd")</f>
        <v>Monday</v>
      </c>
      <c r="G202" s="20">
        <f t="shared" si="3"/>
        <v>0</v>
      </c>
    </row>
    <row r="203" spans="1:7" ht="19.5" x14ac:dyDescent="0.25">
      <c r="A203" s="20" t="s">
        <v>31</v>
      </c>
      <c r="B203" s="20" t="s">
        <v>16</v>
      </c>
      <c r="C203" s="20" t="s">
        <v>14</v>
      </c>
      <c r="D203" s="20" t="s">
        <v>7</v>
      </c>
      <c r="E203" s="20" t="str">
        <f>TEXT(Attendance_Data[[#This Row],[Date]], "mmm")</f>
        <v>May</v>
      </c>
      <c r="F203" s="20" t="str">
        <f>TEXT(Attendance_Data[[#This Row],[Date]], "dddd")</f>
        <v>Tuesday</v>
      </c>
      <c r="G203" s="20">
        <f t="shared" si="3"/>
        <v>1</v>
      </c>
    </row>
    <row r="204" spans="1:7" ht="19.5" x14ac:dyDescent="0.25">
      <c r="A204" s="20" t="s">
        <v>35</v>
      </c>
      <c r="B204" s="20" t="s">
        <v>23</v>
      </c>
      <c r="C204" s="20" t="s">
        <v>24</v>
      </c>
      <c r="D204" s="20" t="s">
        <v>7</v>
      </c>
      <c r="E204" s="20" t="str">
        <f>TEXT(Attendance_Data[[#This Row],[Date]], "mmm")</f>
        <v>May</v>
      </c>
      <c r="F204" s="20" t="str">
        <f>TEXT(Attendance_Data[[#This Row],[Date]], "dddd")</f>
        <v>Wednesday</v>
      </c>
      <c r="G204" s="20">
        <f t="shared" si="3"/>
        <v>1</v>
      </c>
    </row>
    <row r="205" spans="1:7" ht="19.5" x14ac:dyDescent="0.25">
      <c r="A205" s="20" t="s">
        <v>18</v>
      </c>
      <c r="B205" s="20" t="s">
        <v>5</v>
      </c>
      <c r="C205" s="20" t="s">
        <v>6</v>
      </c>
      <c r="D205" s="20" t="s">
        <v>3</v>
      </c>
      <c r="E205" s="20" t="str">
        <f>TEXT(Attendance_Data[[#This Row],[Date]], "mmm")</f>
        <v>May</v>
      </c>
      <c r="F205" s="20" t="str">
        <f>TEXT(Attendance_Data[[#This Row],[Date]], "dddd")</f>
        <v>Tuesday</v>
      </c>
      <c r="G205" s="20">
        <f t="shared" si="3"/>
        <v>1</v>
      </c>
    </row>
    <row r="206" spans="1:7" ht="19.5" x14ac:dyDescent="0.25">
      <c r="A206" s="20" t="s">
        <v>26</v>
      </c>
      <c r="B206" s="20" t="s">
        <v>1</v>
      </c>
      <c r="C206" s="20" t="s">
        <v>2</v>
      </c>
      <c r="D206" s="20" t="s">
        <v>37</v>
      </c>
      <c r="E206" s="20" t="str">
        <f>TEXT(Attendance_Data[[#This Row],[Date]], "mmm")</f>
        <v>May</v>
      </c>
      <c r="F206" s="20" t="str">
        <f>TEXT(Attendance_Data[[#This Row],[Date]], "dddd")</f>
        <v>Sunday</v>
      </c>
      <c r="G206" s="20">
        <f t="shared" si="3"/>
        <v>0</v>
      </c>
    </row>
    <row r="207" spans="1:7" ht="19.5" x14ac:dyDescent="0.25">
      <c r="A207" s="20" t="s">
        <v>47</v>
      </c>
      <c r="B207" s="20" t="s">
        <v>43</v>
      </c>
      <c r="C207" s="20" t="s">
        <v>28</v>
      </c>
      <c r="D207" s="20" t="s">
        <v>7</v>
      </c>
      <c r="E207" s="20" t="str">
        <f>TEXT(Attendance_Data[[#This Row],[Date]], "mmm")</f>
        <v>May</v>
      </c>
      <c r="F207" s="20" t="str">
        <f>TEXT(Attendance_Data[[#This Row],[Date]], "dddd")</f>
        <v>Thursday</v>
      </c>
      <c r="G207" s="20">
        <f t="shared" si="3"/>
        <v>1</v>
      </c>
    </row>
    <row r="208" spans="1:7" ht="19.5" x14ac:dyDescent="0.25">
      <c r="A208" s="20" t="s">
        <v>29</v>
      </c>
      <c r="B208" s="20" t="s">
        <v>11</v>
      </c>
      <c r="C208" s="20" t="s">
        <v>6</v>
      </c>
      <c r="D208" s="20" t="s">
        <v>7</v>
      </c>
      <c r="E208" s="20" t="str">
        <f>TEXT(Attendance_Data[[#This Row],[Date]], "mmm")</f>
        <v>May</v>
      </c>
      <c r="F208" s="20" t="str">
        <f>TEXT(Attendance_Data[[#This Row],[Date]], "dddd")</f>
        <v>Monday</v>
      </c>
      <c r="G208" s="20">
        <f t="shared" si="3"/>
        <v>1</v>
      </c>
    </row>
    <row r="209" spans="1:7" ht="19.5" x14ac:dyDescent="0.25">
      <c r="A209" s="20" t="s">
        <v>40</v>
      </c>
      <c r="B209" s="20" t="s">
        <v>13</v>
      </c>
      <c r="C209" s="20" t="s">
        <v>14</v>
      </c>
      <c r="D209" s="20" t="s">
        <v>7</v>
      </c>
      <c r="E209" s="20" t="str">
        <f>TEXT(Attendance_Data[[#This Row],[Date]], "mmm")</f>
        <v>May</v>
      </c>
      <c r="F209" s="20" t="str">
        <f>TEXT(Attendance_Data[[#This Row],[Date]], "dddd")</f>
        <v>Friday</v>
      </c>
      <c r="G209" s="20">
        <f t="shared" si="3"/>
        <v>1</v>
      </c>
    </row>
    <row r="210" spans="1:7" ht="19.5" x14ac:dyDescent="0.25">
      <c r="A210" s="20" t="s">
        <v>33</v>
      </c>
      <c r="B210" s="20" t="s">
        <v>13</v>
      </c>
      <c r="C210" s="20" t="s">
        <v>14</v>
      </c>
      <c r="D210" s="20" t="s">
        <v>7</v>
      </c>
      <c r="E210" s="20" t="str">
        <f>TEXT(Attendance_Data[[#This Row],[Date]], "mmm")</f>
        <v>May</v>
      </c>
      <c r="F210" s="20" t="str">
        <f>TEXT(Attendance_Data[[#This Row],[Date]], "dddd")</f>
        <v>Wednesday</v>
      </c>
      <c r="G210" s="20">
        <f t="shared" si="3"/>
        <v>1</v>
      </c>
    </row>
    <row r="211" spans="1:7" ht="19.5" x14ac:dyDescent="0.25">
      <c r="A211" s="20" t="s">
        <v>29</v>
      </c>
      <c r="B211" s="20" t="s">
        <v>5</v>
      </c>
      <c r="C211" s="20" t="s">
        <v>6</v>
      </c>
      <c r="D211" s="20" t="s">
        <v>7</v>
      </c>
      <c r="E211" s="20" t="str">
        <f>TEXT(Attendance_Data[[#This Row],[Date]], "mmm")</f>
        <v>May</v>
      </c>
      <c r="F211" s="20" t="str">
        <f>TEXT(Attendance_Data[[#This Row],[Date]], "dddd")</f>
        <v>Monday</v>
      </c>
      <c r="G211" s="20">
        <f t="shared" si="3"/>
        <v>1</v>
      </c>
    </row>
    <row r="212" spans="1:7" ht="19.5" x14ac:dyDescent="0.25">
      <c r="A212" s="20" t="s">
        <v>35</v>
      </c>
      <c r="B212" s="20" t="s">
        <v>13</v>
      </c>
      <c r="C212" s="20" t="s">
        <v>14</v>
      </c>
      <c r="D212" s="20" t="s">
        <v>7</v>
      </c>
      <c r="E212" s="20" t="str">
        <f>TEXT(Attendance_Data[[#This Row],[Date]], "mmm")</f>
        <v>May</v>
      </c>
      <c r="F212" s="20" t="str">
        <f>TEXT(Attendance_Data[[#This Row],[Date]], "dddd")</f>
        <v>Wednesday</v>
      </c>
      <c r="G212" s="20">
        <f t="shared" si="3"/>
        <v>1</v>
      </c>
    </row>
    <row r="213" spans="1:7" ht="19.5" x14ac:dyDescent="0.25">
      <c r="A213" s="20" t="s">
        <v>44</v>
      </c>
      <c r="B213" s="20" t="s">
        <v>43</v>
      </c>
      <c r="C213" s="20" t="s">
        <v>28</v>
      </c>
      <c r="D213" s="20" t="s">
        <v>7</v>
      </c>
      <c r="E213" s="20" t="str">
        <f>TEXT(Attendance_Data[[#This Row],[Date]], "mmm")</f>
        <v>May</v>
      </c>
      <c r="F213" s="20" t="str">
        <f>TEXT(Attendance_Data[[#This Row],[Date]], "dddd")</f>
        <v>Saturday</v>
      </c>
      <c r="G213" s="20">
        <f t="shared" si="3"/>
        <v>1</v>
      </c>
    </row>
    <row r="214" spans="1:7" ht="19.5" x14ac:dyDescent="0.25">
      <c r="A214" s="20" t="s">
        <v>40</v>
      </c>
      <c r="B214" s="20" t="s">
        <v>11</v>
      </c>
      <c r="C214" s="20" t="s">
        <v>6</v>
      </c>
      <c r="D214" s="20" t="s">
        <v>7</v>
      </c>
      <c r="E214" s="20" t="str">
        <f>TEXT(Attendance_Data[[#This Row],[Date]], "mmm")</f>
        <v>May</v>
      </c>
      <c r="F214" s="20" t="str">
        <f>TEXT(Attendance_Data[[#This Row],[Date]], "dddd")</f>
        <v>Friday</v>
      </c>
      <c r="G214" s="20">
        <f t="shared" si="3"/>
        <v>1</v>
      </c>
    </row>
    <row r="215" spans="1:7" ht="19.5" x14ac:dyDescent="0.25">
      <c r="A215" s="20" t="s">
        <v>41</v>
      </c>
      <c r="B215" s="20" t="s">
        <v>43</v>
      </c>
      <c r="C215" s="20" t="s">
        <v>28</v>
      </c>
      <c r="D215" s="20" t="s">
        <v>7</v>
      </c>
      <c r="E215" s="20" t="str">
        <f>TEXT(Attendance_Data[[#This Row],[Date]], "mmm")</f>
        <v>May</v>
      </c>
      <c r="F215" s="20" t="str">
        <f>TEXT(Attendance_Data[[#This Row],[Date]], "dddd")</f>
        <v>Monday</v>
      </c>
      <c r="G215" s="20">
        <f t="shared" si="3"/>
        <v>1</v>
      </c>
    </row>
    <row r="216" spans="1:7" ht="19.5" x14ac:dyDescent="0.25">
      <c r="A216" s="20" t="s">
        <v>34</v>
      </c>
      <c r="B216" s="20" t="s">
        <v>11</v>
      </c>
      <c r="C216" s="20" t="s">
        <v>6</v>
      </c>
      <c r="D216" s="20" t="s">
        <v>7</v>
      </c>
      <c r="E216" s="20" t="str">
        <f>TEXT(Attendance_Data[[#This Row],[Date]], "mmm")</f>
        <v>May</v>
      </c>
      <c r="F216" s="20" t="str">
        <f>TEXT(Attendance_Data[[#This Row],[Date]], "dddd")</f>
        <v>Saturday</v>
      </c>
      <c r="G216" s="20">
        <f t="shared" si="3"/>
        <v>1</v>
      </c>
    </row>
    <row r="217" spans="1:7" ht="19.5" x14ac:dyDescent="0.25">
      <c r="A217" s="20" t="s">
        <v>32</v>
      </c>
      <c r="B217" s="20" t="s">
        <v>5</v>
      </c>
      <c r="C217" s="20" t="s">
        <v>6</v>
      </c>
      <c r="D217" s="20" t="s">
        <v>7</v>
      </c>
      <c r="E217" s="20" t="str">
        <f>TEXT(Attendance_Data[[#This Row],[Date]], "mmm")</f>
        <v>May</v>
      </c>
      <c r="F217" s="20" t="str">
        <f>TEXT(Attendance_Data[[#This Row],[Date]], "dddd")</f>
        <v>Tuesday</v>
      </c>
      <c r="G217" s="20">
        <f t="shared" si="3"/>
        <v>1</v>
      </c>
    </row>
    <row r="218" spans="1:7" ht="19.5" x14ac:dyDescent="0.25">
      <c r="A218" s="20" t="s">
        <v>44</v>
      </c>
      <c r="B218" s="20" t="s">
        <v>9</v>
      </c>
      <c r="C218" s="20" t="s">
        <v>2</v>
      </c>
      <c r="D218" s="20" t="s">
        <v>7</v>
      </c>
      <c r="E218" s="20" t="str">
        <f>TEXT(Attendance_Data[[#This Row],[Date]], "mmm")</f>
        <v>May</v>
      </c>
      <c r="F218" s="20" t="str">
        <f>TEXT(Attendance_Data[[#This Row],[Date]], "dddd")</f>
        <v>Saturday</v>
      </c>
      <c r="G218" s="20">
        <f t="shared" si="3"/>
        <v>1</v>
      </c>
    </row>
    <row r="219" spans="1:7" ht="19.5" x14ac:dyDescent="0.25">
      <c r="A219" s="20" t="s">
        <v>17</v>
      </c>
      <c r="B219" s="20" t="s">
        <v>1</v>
      </c>
      <c r="C219" s="20" t="s">
        <v>2</v>
      </c>
      <c r="D219" s="20" t="s">
        <v>7</v>
      </c>
      <c r="E219" s="20" t="str">
        <f>TEXT(Attendance_Data[[#This Row],[Date]], "mmm")</f>
        <v>May</v>
      </c>
      <c r="F219" s="20" t="str">
        <f>TEXT(Attendance_Data[[#This Row],[Date]], "dddd")</f>
        <v>Friday</v>
      </c>
      <c r="G219" s="20">
        <f t="shared" si="3"/>
        <v>1</v>
      </c>
    </row>
    <row r="220" spans="1:7" ht="19.5" x14ac:dyDescent="0.25">
      <c r="A220" s="20" t="s">
        <v>0</v>
      </c>
      <c r="B220" s="20" t="s">
        <v>16</v>
      </c>
      <c r="C220" s="20" t="s">
        <v>14</v>
      </c>
      <c r="D220" s="20" t="s">
        <v>3</v>
      </c>
      <c r="E220" s="20" t="str">
        <f>TEXT(Attendance_Data[[#This Row],[Date]], "mmm")</f>
        <v>May</v>
      </c>
      <c r="F220" s="20" t="str">
        <f>TEXT(Attendance_Data[[#This Row],[Date]], "dddd")</f>
        <v>Wednesday</v>
      </c>
      <c r="G220" s="20">
        <f t="shared" si="3"/>
        <v>1</v>
      </c>
    </row>
    <row r="221" spans="1:7" ht="19.5" x14ac:dyDescent="0.25">
      <c r="A221" s="20" t="s">
        <v>31</v>
      </c>
      <c r="B221" s="20" t="s">
        <v>30</v>
      </c>
      <c r="C221" s="20" t="s">
        <v>24</v>
      </c>
      <c r="D221" s="20" t="s">
        <v>3</v>
      </c>
      <c r="E221" s="20" t="str">
        <f>TEXT(Attendance_Data[[#This Row],[Date]], "mmm")</f>
        <v>May</v>
      </c>
      <c r="F221" s="20" t="str">
        <f>TEXT(Attendance_Data[[#This Row],[Date]], "dddd")</f>
        <v>Tuesday</v>
      </c>
      <c r="G221" s="20">
        <f t="shared" si="3"/>
        <v>1</v>
      </c>
    </row>
    <row r="222" spans="1:7" ht="19.5" x14ac:dyDescent="0.25">
      <c r="A222" s="20" t="s">
        <v>25</v>
      </c>
      <c r="B222" s="20" t="s">
        <v>27</v>
      </c>
      <c r="C222" s="20" t="s">
        <v>28</v>
      </c>
      <c r="D222" s="20" t="s">
        <v>7</v>
      </c>
      <c r="E222" s="20" t="str">
        <f>TEXT(Attendance_Data[[#This Row],[Date]], "mmm")</f>
        <v>May</v>
      </c>
      <c r="F222" s="20" t="str">
        <f>TEXT(Attendance_Data[[#This Row],[Date]], "dddd")</f>
        <v>Sunday</v>
      </c>
      <c r="G222" s="20">
        <f t="shared" si="3"/>
        <v>1</v>
      </c>
    </row>
    <row r="223" spans="1:7" ht="19.5" x14ac:dyDescent="0.25">
      <c r="A223" s="20" t="s">
        <v>33</v>
      </c>
      <c r="B223" s="20" t="s">
        <v>13</v>
      </c>
      <c r="C223" s="20" t="s">
        <v>14</v>
      </c>
      <c r="D223" s="20" t="s">
        <v>7</v>
      </c>
      <c r="E223" s="20" t="str">
        <f>TEXT(Attendance_Data[[#This Row],[Date]], "mmm")</f>
        <v>May</v>
      </c>
      <c r="F223" s="20" t="str">
        <f>TEXT(Attendance_Data[[#This Row],[Date]], "dddd")</f>
        <v>Wednesday</v>
      </c>
      <c r="G223" s="20">
        <f t="shared" si="3"/>
        <v>1</v>
      </c>
    </row>
    <row r="224" spans="1:7" ht="19.5" x14ac:dyDescent="0.25">
      <c r="A224" s="20" t="s">
        <v>40</v>
      </c>
      <c r="B224" s="20" t="s">
        <v>5</v>
      </c>
      <c r="C224" s="20" t="s">
        <v>6</v>
      </c>
      <c r="D224" s="20" t="s">
        <v>7</v>
      </c>
      <c r="E224" s="20" t="str">
        <f>TEXT(Attendance_Data[[#This Row],[Date]], "mmm")</f>
        <v>May</v>
      </c>
      <c r="F224" s="20" t="str">
        <f>TEXT(Attendance_Data[[#This Row],[Date]], "dddd")</f>
        <v>Friday</v>
      </c>
      <c r="G224" s="20">
        <f t="shared" si="3"/>
        <v>1</v>
      </c>
    </row>
    <row r="225" spans="1:7" ht="19.5" x14ac:dyDescent="0.25">
      <c r="A225" s="20" t="s">
        <v>40</v>
      </c>
      <c r="B225" s="20" t="s">
        <v>13</v>
      </c>
      <c r="C225" s="20" t="s">
        <v>14</v>
      </c>
      <c r="D225" s="20" t="s">
        <v>7</v>
      </c>
      <c r="E225" s="20" t="str">
        <f>TEXT(Attendance_Data[[#This Row],[Date]], "mmm")</f>
        <v>May</v>
      </c>
      <c r="F225" s="20" t="str">
        <f>TEXT(Attendance_Data[[#This Row],[Date]], "dddd")</f>
        <v>Friday</v>
      </c>
      <c r="G225" s="20">
        <f t="shared" si="3"/>
        <v>1</v>
      </c>
    </row>
    <row r="226" spans="1:7" ht="19.5" x14ac:dyDescent="0.25">
      <c r="A226" s="20" t="s">
        <v>0</v>
      </c>
      <c r="B226" s="20" t="s">
        <v>43</v>
      </c>
      <c r="C226" s="20" t="s">
        <v>28</v>
      </c>
      <c r="D226" s="20" t="s">
        <v>37</v>
      </c>
      <c r="E226" s="20" t="str">
        <f>TEXT(Attendance_Data[[#This Row],[Date]], "mmm")</f>
        <v>May</v>
      </c>
      <c r="F226" s="20" t="str">
        <f>TEXT(Attendance_Data[[#This Row],[Date]], "dddd")</f>
        <v>Wednesday</v>
      </c>
      <c r="G226" s="20">
        <f t="shared" si="3"/>
        <v>0</v>
      </c>
    </row>
    <row r="227" spans="1:7" ht="19.5" x14ac:dyDescent="0.25">
      <c r="A227" s="20" t="s">
        <v>12</v>
      </c>
      <c r="B227" s="20" t="s">
        <v>30</v>
      </c>
      <c r="C227" s="20" t="s">
        <v>24</v>
      </c>
      <c r="D227" s="20" t="s">
        <v>7</v>
      </c>
      <c r="E227" s="20" t="str">
        <f>TEXT(Attendance_Data[[#This Row],[Date]], "mmm")</f>
        <v>May</v>
      </c>
      <c r="F227" s="20" t="str">
        <f>TEXT(Attendance_Data[[#This Row],[Date]], "dddd")</f>
        <v>Monday</v>
      </c>
      <c r="G227" s="20">
        <f t="shared" si="3"/>
        <v>1</v>
      </c>
    </row>
    <row r="228" spans="1:7" ht="19.5" x14ac:dyDescent="0.25">
      <c r="A228" s="20" t="s">
        <v>12</v>
      </c>
      <c r="B228" s="20" t="s">
        <v>9</v>
      </c>
      <c r="C228" s="20" t="s">
        <v>2</v>
      </c>
      <c r="D228" s="20" t="s">
        <v>7</v>
      </c>
      <c r="E228" s="20" t="str">
        <f>TEXT(Attendance_Data[[#This Row],[Date]], "mmm")</f>
        <v>May</v>
      </c>
      <c r="F228" s="20" t="str">
        <f>TEXT(Attendance_Data[[#This Row],[Date]], "dddd")</f>
        <v>Monday</v>
      </c>
      <c r="G228" s="20">
        <f t="shared" si="3"/>
        <v>1</v>
      </c>
    </row>
    <row r="229" spans="1:7" ht="19.5" x14ac:dyDescent="0.25">
      <c r="A229" s="20" t="s">
        <v>42</v>
      </c>
      <c r="B229" s="20" t="s">
        <v>13</v>
      </c>
      <c r="C229" s="20" t="s">
        <v>14</v>
      </c>
      <c r="D229" s="20" t="s">
        <v>37</v>
      </c>
      <c r="E229" s="20" t="str">
        <f>TEXT(Attendance_Data[[#This Row],[Date]], "mmm")</f>
        <v>May</v>
      </c>
      <c r="F229" s="20" t="str">
        <f>TEXT(Attendance_Data[[#This Row],[Date]], "dddd")</f>
        <v>Tuesday</v>
      </c>
      <c r="G229" s="20">
        <f t="shared" si="3"/>
        <v>0</v>
      </c>
    </row>
    <row r="230" spans="1:7" ht="19.5" x14ac:dyDescent="0.25">
      <c r="A230" s="20" t="s">
        <v>42</v>
      </c>
      <c r="B230" s="20" t="s">
        <v>27</v>
      </c>
      <c r="C230" s="20" t="s">
        <v>28</v>
      </c>
      <c r="D230" s="20" t="s">
        <v>7</v>
      </c>
      <c r="E230" s="20" t="str">
        <f>TEXT(Attendance_Data[[#This Row],[Date]], "mmm")</f>
        <v>May</v>
      </c>
      <c r="F230" s="20" t="str">
        <f>TEXT(Attendance_Data[[#This Row],[Date]], "dddd")</f>
        <v>Tuesday</v>
      </c>
      <c r="G230" s="20">
        <f t="shared" si="3"/>
        <v>1</v>
      </c>
    </row>
    <row r="231" spans="1:7" ht="19.5" x14ac:dyDescent="0.25">
      <c r="A231" s="20" t="s">
        <v>15</v>
      </c>
      <c r="B231" s="20" t="s">
        <v>5</v>
      </c>
      <c r="C231" s="20" t="s">
        <v>6</v>
      </c>
      <c r="D231" s="20" t="s">
        <v>37</v>
      </c>
      <c r="E231" s="20" t="str">
        <f>TEXT(Attendance_Data[[#This Row],[Date]], "mmm")</f>
        <v>May</v>
      </c>
      <c r="F231" s="20" t="str">
        <f>TEXT(Attendance_Data[[#This Row],[Date]], "dddd")</f>
        <v>Sunday</v>
      </c>
      <c r="G231" s="20">
        <f t="shared" si="3"/>
        <v>0</v>
      </c>
    </row>
    <row r="232" spans="1:7" ht="19.5" x14ac:dyDescent="0.25">
      <c r="A232" s="20" t="s">
        <v>45</v>
      </c>
      <c r="B232" s="20" t="s">
        <v>9</v>
      </c>
      <c r="C232" s="20" t="s">
        <v>2</v>
      </c>
      <c r="D232" s="20" t="s">
        <v>37</v>
      </c>
      <c r="E232" s="20" t="str">
        <f>TEXT(Attendance_Data[[#This Row],[Date]], "mmm")</f>
        <v>May</v>
      </c>
      <c r="F232" s="20" t="str">
        <f>TEXT(Attendance_Data[[#This Row],[Date]], "dddd")</f>
        <v>Monday</v>
      </c>
      <c r="G232" s="20">
        <f t="shared" si="3"/>
        <v>0</v>
      </c>
    </row>
    <row r="233" spans="1:7" ht="19.5" x14ac:dyDescent="0.25">
      <c r="A233" s="20" t="s">
        <v>12</v>
      </c>
      <c r="B233" s="20" t="s">
        <v>30</v>
      </c>
      <c r="C233" s="20" t="s">
        <v>24</v>
      </c>
      <c r="D233" s="20" t="s">
        <v>37</v>
      </c>
      <c r="E233" s="20" t="str">
        <f>TEXT(Attendance_Data[[#This Row],[Date]], "mmm")</f>
        <v>May</v>
      </c>
      <c r="F233" s="20" t="str">
        <f>TEXT(Attendance_Data[[#This Row],[Date]], "dddd")</f>
        <v>Monday</v>
      </c>
      <c r="G233" s="20">
        <f t="shared" si="3"/>
        <v>0</v>
      </c>
    </row>
    <row r="234" spans="1:7" ht="19.5" x14ac:dyDescent="0.25">
      <c r="A234" s="20" t="s">
        <v>49</v>
      </c>
      <c r="B234" s="20" t="s">
        <v>9</v>
      </c>
      <c r="C234" s="20" t="s">
        <v>2</v>
      </c>
      <c r="D234" s="20" t="s">
        <v>7</v>
      </c>
      <c r="E234" s="20" t="str">
        <f>TEXT(Attendance_Data[[#This Row],[Date]], "mmm")</f>
        <v>May</v>
      </c>
      <c r="F234" s="20" t="str">
        <f>TEXT(Attendance_Data[[#This Row],[Date]], "dddd")</f>
        <v>Thursday</v>
      </c>
      <c r="G234" s="20">
        <f t="shared" si="3"/>
        <v>1</v>
      </c>
    </row>
    <row r="235" spans="1:7" ht="19.5" x14ac:dyDescent="0.25">
      <c r="A235" s="20" t="s">
        <v>40</v>
      </c>
      <c r="B235" s="20" t="s">
        <v>11</v>
      </c>
      <c r="C235" s="20" t="s">
        <v>6</v>
      </c>
      <c r="D235" s="20" t="s">
        <v>7</v>
      </c>
      <c r="E235" s="20" t="str">
        <f>TEXT(Attendance_Data[[#This Row],[Date]], "mmm")</f>
        <v>May</v>
      </c>
      <c r="F235" s="20" t="str">
        <f>TEXT(Attendance_Data[[#This Row],[Date]], "dddd")</f>
        <v>Friday</v>
      </c>
      <c r="G235" s="20">
        <f t="shared" si="3"/>
        <v>1</v>
      </c>
    </row>
    <row r="236" spans="1:7" ht="19.5" x14ac:dyDescent="0.25">
      <c r="A236" s="20" t="s">
        <v>42</v>
      </c>
      <c r="B236" s="20" t="s">
        <v>5</v>
      </c>
      <c r="C236" s="20" t="s">
        <v>6</v>
      </c>
      <c r="D236" s="20" t="s">
        <v>7</v>
      </c>
      <c r="E236" s="20" t="str">
        <f>TEXT(Attendance_Data[[#This Row],[Date]], "mmm")</f>
        <v>May</v>
      </c>
      <c r="F236" s="20" t="str">
        <f>TEXT(Attendance_Data[[#This Row],[Date]], "dddd")</f>
        <v>Tuesday</v>
      </c>
      <c r="G236" s="20">
        <f t="shared" si="3"/>
        <v>1</v>
      </c>
    </row>
    <row r="237" spans="1:7" ht="19.5" x14ac:dyDescent="0.25">
      <c r="A237" s="20" t="s">
        <v>33</v>
      </c>
      <c r="B237" s="20" t="s">
        <v>16</v>
      </c>
      <c r="C237" s="20" t="s">
        <v>14</v>
      </c>
      <c r="D237" s="20" t="s">
        <v>3</v>
      </c>
      <c r="E237" s="20" t="str">
        <f>TEXT(Attendance_Data[[#This Row],[Date]], "mmm")</f>
        <v>May</v>
      </c>
      <c r="F237" s="20" t="str">
        <f>TEXT(Attendance_Data[[#This Row],[Date]], "dddd")</f>
        <v>Wednesday</v>
      </c>
      <c r="G237" s="20">
        <f t="shared" si="3"/>
        <v>1</v>
      </c>
    </row>
    <row r="238" spans="1:7" ht="19.5" x14ac:dyDescent="0.25">
      <c r="A238" s="20" t="s">
        <v>17</v>
      </c>
      <c r="B238" s="20" t="s">
        <v>23</v>
      </c>
      <c r="C238" s="20" t="s">
        <v>24</v>
      </c>
      <c r="D238" s="20" t="s">
        <v>7</v>
      </c>
      <c r="E238" s="20" t="str">
        <f>TEXT(Attendance_Data[[#This Row],[Date]], "mmm")</f>
        <v>May</v>
      </c>
      <c r="F238" s="20" t="str">
        <f>TEXT(Attendance_Data[[#This Row],[Date]], "dddd")</f>
        <v>Friday</v>
      </c>
      <c r="G238" s="20">
        <f t="shared" si="3"/>
        <v>1</v>
      </c>
    </row>
    <row r="239" spans="1:7" ht="19.5" x14ac:dyDescent="0.25">
      <c r="A239" s="20" t="s">
        <v>31</v>
      </c>
      <c r="B239" s="20" t="s">
        <v>23</v>
      </c>
      <c r="C239" s="20" t="s">
        <v>24</v>
      </c>
      <c r="D239" s="20" t="s">
        <v>37</v>
      </c>
      <c r="E239" s="20" t="str">
        <f>TEXT(Attendance_Data[[#This Row],[Date]], "mmm")</f>
        <v>May</v>
      </c>
      <c r="F239" s="20" t="str">
        <f>TEXT(Attendance_Data[[#This Row],[Date]], "dddd")</f>
        <v>Tuesday</v>
      </c>
      <c r="G239" s="20">
        <f t="shared" si="3"/>
        <v>0</v>
      </c>
    </row>
    <row r="240" spans="1:7" ht="19.5" x14ac:dyDescent="0.25">
      <c r="A240" s="20" t="s">
        <v>48</v>
      </c>
      <c r="B240" s="20" t="s">
        <v>16</v>
      </c>
      <c r="C240" s="20" t="s">
        <v>14</v>
      </c>
      <c r="D240" s="20" t="s">
        <v>7</v>
      </c>
      <c r="E240" s="20" t="str">
        <f>TEXT(Attendance_Data[[#This Row],[Date]], "mmm")</f>
        <v>May</v>
      </c>
      <c r="F240" s="20" t="str">
        <f>TEXT(Attendance_Data[[#This Row],[Date]], "dddd")</f>
        <v>Sunday</v>
      </c>
      <c r="G240" s="20">
        <f t="shared" si="3"/>
        <v>1</v>
      </c>
    </row>
    <row r="241" spans="1:7" ht="19.5" x14ac:dyDescent="0.25">
      <c r="A241" s="20" t="s">
        <v>33</v>
      </c>
      <c r="B241" s="20" t="s">
        <v>11</v>
      </c>
      <c r="C241" s="20" t="s">
        <v>6</v>
      </c>
      <c r="D241" s="20" t="s">
        <v>37</v>
      </c>
      <c r="E241" s="20" t="str">
        <f>TEXT(Attendance_Data[[#This Row],[Date]], "mmm")</f>
        <v>May</v>
      </c>
      <c r="F241" s="20" t="str">
        <f>TEXT(Attendance_Data[[#This Row],[Date]], "dddd")</f>
        <v>Wednesday</v>
      </c>
      <c r="G241" s="20">
        <f t="shared" si="3"/>
        <v>0</v>
      </c>
    </row>
    <row r="242" spans="1:7" ht="19.5" x14ac:dyDescent="0.25">
      <c r="A242" s="20" t="s">
        <v>38</v>
      </c>
      <c r="B242" s="20" t="s">
        <v>16</v>
      </c>
      <c r="C242" s="20" t="s">
        <v>14</v>
      </c>
      <c r="D242" s="20" t="s">
        <v>7</v>
      </c>
      <c r="E242" s="20" t="str">
        <f>TEXT(Attendance_Data[[#This Row],[Date]], "mmm")</f>
        <v>May</v>
      </c>
      <c r="F242" s="20" t="str">
        <f>TEXT(Attendance_Data[[#This Row],[Date]], "dddd")</f>
        <v>Thursday</v>
      </c>
      <c r="G242" s="20">
        <f t="shared" si="3"/>
        <v>1</v>
      </c>
    </row>
    <row r="243" spans="1:7" ht="19.5" x14ac:dyDescent="0.25">
      <c r="A243" s="20" t="s">
        <v>39</v>
      </c>
      <c r="B243" s="20" t="s">
        <v>27</v>
      </c>
      <c r="C243" s="20" t="s">
        <v>28</v>
      </c>
      <c r="D243" s="20" t="s">
        <v>7</v>
      </c>
      <c r="E243" s="20" t="str">
        <f>TEXT(Attendance_Data[[#This Row],[Date]], "mmm")</f>
        <v>May</v>
      </c>
      <c r="F243" s="20" t="str">
        <f>TEXT(Attendance_Data[[#This Row],[Date]], "dddd")</f>
        <v>Thursday</v>
      </c>
      <c r="G243" s="20">
        <f t="shared" si="3"/>
        <v>1</v>
      </c>
    </row>
    <row r="244" spans="1:7" ht="19.5" x14ac:dyDescent="0.25">
      <c r="A244" s="20" t="s">
        <v>36</v>
      </c>
      <c r="B244" s="20" t="s">
        <v>11</v>
      </c>
      <c r="C244" s="20" t="s">
        <v>6</v>
      </c>
      <c r="D244" s="20" t="s">
        <v>7</v>
      </c>
      <c r="E244" s="20" t="str">
        <f>TEXT(Attendance_Data[[#This Row],[Date]], "mmm")</f>
        <v>May</v>
      </c>
      <c r="F244" s="20" t="str">
        <f>TEXT(Attendance_Data[[#This Row],[Date]], "dddd")</f>
        <v>Saturday</v>
      </c>
      <c r="G244" s="20">
        <f t="shared" si="3"/>
        <v>1</v>
      </c>
    </row>
    <row r="245" spans="1:7" ht="19.5" x14ac:dyDescent="0.25">
      <c r="A245" s="20" t="s">
        <v>26</v>
      </c>
      <c r="B245" s="20" t="s">
        <v>27</v>
      </c>
      <c r="C245" s="20" t="s">
        <v>28</v>
      </c>
      <c r="D245" s="20" t="s">
        <v>7</v>
      </c>
      <c r="E245" s="20" t="str">
        <f>TEXT(Attendance_Data[[#This Row],[Date]], "mmm")</f>
        <v>May</v>
      </c>
      <c r="F245" s="20" t="str">
        <f>TEXT(Attendance_Data[[#This Row],[Date]], "dddd")</f>
        <v>Sunday</v>
      </c>
      <c r="G245" s="20">
        <f t="shared" si="3"/>
        <v>1</v>
      </c>
    </row>
    <row r="246" spans="1:7" ht="19.5" x14ac:dyDescent="0.25">
      <c r="A246" s="20" t="s">
        <v>41</v>
      </c>
      <c r="B246" s="20" t="s">
        <v>30</v>
      </c>
      <c r="C246" s="20" t="s">
        <v>24</v>
      </c>
      <c r="D246" s="20" t="s">
        <v>20</v>
      </c>
      <c r="E246" s="20" t="str">
        <f>TEXT(Attendance_Data[[#This Row],[Date]], "mmm")</f>
        <v>May</v>
      </c>
      <c r="F246" s="20" t="str">
        <f>TEXT(Attendance_Data[[#This Row],[Date]], "dddd")</f>
        <v>Monday</v>
      </c>
      <c r="G246" s="20">
        <f t="shared" si="3"/>
        <v>0</v>
      </c>
    </row>
    <row r="247" spans="1:7" ht="19.5" x14ac:dyDescent="0.25">
      <c r="A247" s="20" t="s">
        <v>26</v>
      </c>
      <c r="B247" s="20" t="s">
        <v>1</v>
      </c>
      <c r="C247" s="20" t="s">
        <v>2</v>
      </c>
      <c r="D247" s="20" t="s">
        <v>7</v>
      </c>
      <c r="E247" s="20" t="str">
        <f>TEXT(Attendance_Data[[#This Row],[Date]], "mmm")</f>
        <v>May</v>
      </c>
      <c r="F247" s="20" t="str">
        <f>TEXT(Attendance_Data[[#This Row],[Date]], "dddd")</f>
        <v>Sunday</v>
      </c>
      <c r="G247" s="20">
        <f t="shared" si="3"/>
        <v>1</v>
      </c>
    </row>
    <row r="248" spans="1:7" ht="19.5" x14ac:dyDescent="0.25">
      <c r="A248" s="20" t="s">
        <v>26</v>
      </c>
      <c r="B248" s="20" t="s">
        <v>5</v>
      </c>
      <c r="C248" s="20" t="s">
        <v>6</v>
      </c>
      <c r="D248" s="20" t="s">
        <v>7</v>
      </c>
      <c r="E248" s="20" t="str">
        <f>TEXT(Attendance_Data[[#This Row],[Date]], "mmm")</f>
        <v>May</v>
      </c>
      <c r="F248" s="20" t="str">
        <f>TEXT(Attendance_Data[[#This Row],[Date]], "dddd")</f>
        <v>Sunday</v>
      </c>
      <c r="G248" s="20">
        <f t="shared" si="3"/>
        <v>1</v>
      </c>
    </row>
    <row r="249" spans="1:7" ht="19.5" x14ac:dyDescent="0.25">
      <c r="A249" s="20" t="s">
        <v>41</v>
      </c>
      <c r="B249" s="20" t="s">
        <v>11</v>
      </c>
      <c r="C249" s="20" t="s">
        <v>6</v>
      </c>
      <c r="D249" s="20" t="s">
        <v>3</v>
      </c>
      <c r="E249" s="20" t="str">
        <f>TEXT(Attendance_Data[[#This Row],[Date]], "mmm")</f>
        <v>May</v>
      </c>
      <c r="F249" s="20" t="str">
        <f>TEXT(Attendance_Data[[#This Row],[Date]], "dddd")</f>
        <v>Monday</v>
      </c>
      <c r="G249" s="20">
        <f t="shared" si="3"/>
        <v>1</v>
      </c>
    </row>
    <row r="250" spans="1:7" ht="19.5" x14ac:dyDescent="0.25">
      <c r="A250" s="20" t="s">
        <v>21</v>
      </c>
      <c r="B250" s="20" t="s">
        <v>11</v>
      </c>
      <c r="C250" s="20" t="s">
        <v>6</v>
      </c>
      <c r="D250" s="20" t="s">
        <v>3</v>
      </c>
      <c r="E250" s="20" t="str">
        <f>TEXT(Attendance_Data[[#This Row],[Date]], "mmm")</f>
        <v>May</v>
      </c>
      <c r="F250" s="20" t="str">
        <f>TEXT(Attendance_Data[[#This Row],[Date]], "dddd")</f>
        <v>Friday</v>
      </c>
      <c r="G250" s="20">
        <f t="shared" si="3"/>
        <v>1</v>
      </c>
    </row>
    <row r="251" spans="1:7" ht="19.5" x14ac:dyDescent="0.25">
      <c r="A251" s="20" t="s">
        <v>46</v>
      </c>
      <c r="B251" s="20" t="s">
        <v>9</v>
      </c>
      <c r="C251" s="20" t="s">
        <v>2</v>
      </c>
      <c r="D251" s="20" t="s">
        <v>7</v>
      </c>
      <c r="E251" s="20" t="str">
        <f>TEXT(Attendance_Data[[#This Row],[Date]], "mmm")</f>
        <v>May</v>
      </c>
      <c r="F251" s="20" t="str">
        <f>TEXT(Attendance_Data[[#This Row],[Date]], "dddd")</f>
        <v>Saturday</v>
      </c>
      <c r="G251" s="20">
        <f t="shared" si="3"/>
        <v>1</v>
      </c>
    </row>
    <row r="252" spans="1:7" ht="19.5" x14ac:dyDescent="0.25">
      <c r="A252" s="20" t="s">
        <v>33</v>
      </c>
      <c r="B252" s="20" t="s">
        <v>16</v>
      </c>
      <c r="C252" s="20" t="s">
        <v>14</v>
      </c>
      <c r="D252" s="20" t="s">
        <v>7</v>
      </c>
      <c r="E252" s="20" t="str">
        <f>TEXT(Attendance_Data[[#This Row],[Date]], "mmm")</f>
        <v>May</v>
      </c>
      <c r="F252" s="20" t="str">
        <f>TEXT(Attendance_Data[[#This Row],[Date]], "dddd")</f>
        <v>Wednesday</v>
      </c>
      <c r="G252" s="20">
        <f t="shared" si="3"/>
        <v>1</v>
      </c>
    </row>
    <row r="253" spans="1:7" ht="19.5" x14ac:dyDescent="0.25">
      <c r="A253" s="20" t="s">
        <v>31</v>
      </c>
      <c r="B253" s="20" t="s">
        <v>9</v>
      </c>
      <c r="C253" s="20" t="s">
        <v>2</v>
      </c>
      <c r="D253" s="20" t="s">
        <v>37</v>
      </c>
      <c r="E253" s="20" t="str">
        <f>TEXT(Attendance_Data[[#This Row],[Date]], "mmm")</f>
        <v>May</v>
      </c>
      <c r="F253" s="20" t="str">
        <f>TEXT(Attendance_Data[[#This Row],[Date]], "dddd")</f>
        <v>Tuesday</v>
      </c>
      <c r="G253" s="20">
        <f t="shared" si="3"/>
        <v>0</v>
      </c>
    </row>
    <row r="254" spans="1:7" ht="19.5" x14ac:dyDescent="0.25">
      <c r="A254" s="20" t="s">
        <v>35</v>
      </c>
      <c r="B254" s="20" t="s">
        <v>13</v>
      </c>
      <c r="C254" s="20" t="s">
        <v>14</v>
      </c>
      <c r="D254" s="20" t="s">
        <v>7</v>
      </c>
      <c r="E254" s="20" t="str">
        <f>TEXT(Attendance_Data[[#This Row],[Date]], "mmm")</f>
        <v>May</v>
      </c>
      <c r="F254" s="20" t="str">
        <f>TEXT(Attendance_Data[[#This Row],[Date]], "dddd")</f>
        <v>Wednesday</v>
      </c>
      <c r="G254" s="20">
        <f t="shared" si="3"/>
        <v>1</v>
      </c>
    </row>
    <row r="255" spans="1:7" ht="19.5" x14ac:dyDescent="0.25">
      <c r="A255" s="20" t="s">
        <v>22</v>
      </c>
      <c r="B255" s="20" t="s">
        <v>11</v>
      </c>
      <c r="C255" s="20" t="s">
        <v>6</v>
      </c>
      <c r="D255" s="20" t="s">
        <v>7</v>
      </c>
      <c r="E255" s="20" t="str">
        <f>TEXT(Attendance_Data[[#This Row],[Date]], "mmm")</f>
        <v>May</v>
      </c>
      <c r="F255" s="20" t="str">
        <f>TEXT(Attendance_Data[[#This Row],[Date]], "dddd")</f>
        <v>Friday</v>
      </c>
      <c r="G255" s="20">
        <f t="shared" si="3"/>
        <v>1</v>
      </c>
    </row>
    <row r="256" spans="1:7" ht="19.5" x14ac:dyDescent="0.25">
      <c r="A256" s="20" t="s">
        <v>12</v>
      </c>
      <c r="B256" s="20" t="s">
        <v>27</v>
      </c>
      <c r="C256" s="20" t="s">
        <v>28</v>
      </c>
      <c r="D256" s="20" t="s">
        <v>7</v>
      </c>
      <c r="E256" s="20" t="str">
        <f>TEXT(Attendance_Data[[#This Row],[Date]], "mmm")</f>
        <v>May</v>
      </c>
      <c r="F256" s="20" t="str">
        <f>TEXT(Attendance_Data[[#This Row],[Date]], "dddd")</f>
        <v>Monday</v>
      </c>
      <c r="G256" s="20">
        <f t="shared" si="3"/>
        <v>1</v>
      </c>
    </row>
    <row r="257" spans="1:7" ht="19.5" x14ac:dyDescent="0.25">
      <c r="A257" s="20" t="s">
        <v>38</v>
      </c>
      <c r="B257" s="20" t="s">
        <v>43</v>
      </c>
      <c r="C257" s="20" t="s">
        <v>28</v>
      </c>
      <c r="D257" s="20" t="s">
        <v>7</v>
      </c>
      <c r="E257" s="20" t="str">
        <f>TEXT(Attendance_Data[[#This Row],[Date]], "mmm")</f>
        <v>May</v>
      </c>
      <c r="F257" s="20" t="str">
        <f>TEXT(Attendance_Data[[#This Row],[Date]], "dddd")</f>
        <v>Thursday</v>
      </c>
      <c r="G257" s="20">
        <f t="shared" si="3"/>
        <v>1</v>
      </c>
    </row>
    <row r="258" spans="1:7" ht="19.5" x14ac:dyDescent="0.25">
      <c r="A258" s="20" t="s">
        <v>41</v>
      </c>
      <c r="B258" s="20" t="s">
        <v>30</v>
      </c>
      <c r="C258" s="20" t="s">
        <v>24</v>
      </c>
      <c r="D258" s="20" t="s">
        <v>7</v>
      </c>
      <c r="E258" s="20" t="str">
        <f>TEXT(Attendance_Data[[#This Row],[Date]], "mmm")</f>
        <v>May</v>
      </c>
      <c r="F258" s="20" t="str">
        <f>TEXT(Attendance_Data[[#This Row],[Date]], "dddd")</f>
        <v>Monday</v>
      </c>
      <c r="G258" s="20">
        <f t="shared" ref="G258:G321" si="4">IF(OR(D258="Present", D258="Late"),1,0)</f>
        <v>1</v>
      </c>
    </row>
    <row r="259" spans="1:7" ht="19.5" x14ac:dyDescent="0.25">
      <c r="A259" s="20" t="s">
        <v>33</v>
      </c>
      <c r="B259" s="20" t="s">
        <v>30</v>
      </c>
      <c r="C259" s="20" t="s">
        <v>24</v>
      </c>
      <c r="D259" s="20" t="s">
        <v>7</v>
      </c>
      <c r="E259" s="20" t="str">
        <f>TEXT(Attendance_Data[[#This Row],[Date]], "mmm")</f>
        <v>May</v>
      </c>
      <c r="F259" s="20" t="str">
        <f>TEXT(Attendance_Data[[#This Row],[Date]], "dddd")</f>
        <v>Wednesday</v>
      </c>
      <c r="G259" s="20">
        <f t="shared" si="4"/>
        <v>1</v>
      </c>
    </row>
    <row r="260" spans="1:7" ht="19.5" x14ac:dyDescent="0.25">
      <c r="A260" s="20" t="s">
        <v>0</v>
      </c>
      <c r="B260" s="20" t="s">
        <v>9</v>
      </c>
      <c r="C260" s="20" t="s">
        <v>2</v>
      </c>
      <c r="D260" s="20" t="s">
        <v>7</v>
      </c>
      <c r="E260" s="20" t="str">
        <f>TEXT(Attendance_Data[[#This Row],[Date]], "mmm")</f>
        <v>May</v>
      </c>
      <c r="F260" s="20" t="str">
        <f>TEXT(Attendance_Data[[#This Row],[Date]], "dddd")</f>
        <v>Wednesday</v>
      </c>
      <c r="G260" s="20">
        <f t="shared" si="4"/>
        <v>1</v>
      </c>
    </row>
    <row r="261" spans="1:7" ht="19.5" x14ac:dyDescent="0.25">
      <c r="A261" s="20" t="s">
        <v>47</v>
      </c>
      <c r="B261" s="20" t="s">
        <v>1</v>
      </c>
      <c r="C261" s="20" t="s">
        <v>2</v>
      </c>
      <c r="D261" s="20" t="s">
        <v>37</v>
      </c>
      <c r="E261" s="20" t="str">
        <f>TEXT(Attendance_Data[[#This Row],[Date]], "mmm")</f>
        <v>May</v>
      </c>
      <c r="F261" s="20" t="str">
        <f>TEXT(Attendance_Data[[#This Row],[Date]], "dddd")</f>
        <v>Thursday</v>
      </c>
      <c r="G261" s="20">
        <f t="shared" si="4"/>
        <v>0</v>
      </c>
    </row>
    <row r="262" spans="1:7" ht="19.5" x14ac:dyDescent="0.25">
      <c r="A262" s="20" t="s">
        <v>36</v>
      </c>
      <c r="B262" s="20" t="s">
        <v>5</v>
      </c>
      <c r="C262" s="20" t="s">
        <v>6</v>
      </c>
      <c r="D262" s="20" t="s">
        <v>3</v>
      </c>
      <c r="E262" s="20" t="str">
        <f>TEXT(Attendance_Data[[#This Row],[Date]], "mmm")</f>
        <v>May</v>
      </c>
      <c r="F262" s="20" t="str">
        <f>TEXT(Attendance_Data[[#This Row],[Date]], "dddd")</f>
        <v>Saturday</v>
      </c>
      <c r="G262" s="20">
        <f t="shared" si="4"/>
        <v>1</v>
      </c>
    </row>
    <row r="263" spans="1:7" ht="19.5" x14ac:dyDescent="0.25">
      <c r="A263" s="20" t="s">
        <v>44</v>
      </c>
      <c r="B263" s="20" t="s">
        <v>23</v>
      </c>
      <c r="C263" s="20" t="s">
        <v>24</v>
      </c>
      <c r="D263" s="20" t="s">
        <v>7</v>
      </c>
      <c r="E263" s="20" t="str">
        <f>TEXT(Attendance_Data[[#This Row],[Date]], "mmm")</f>
        <v>May</v>
      </c>
      <c r="F263" s="20" t="str">
        <f>TEXT(Attendance_Data[[#This Row],[Date]], "dddd")</f>
        <v>Saturday</v>
      </c>
      <c r="G263" s="20">
        <f t="shared" si="4"/>
        <v>1</v>
      </c>
    </row>
    <row r="264" spans="1:7" ht="19.5" x14ac:dyDescent="0.25">
      <c r="A264" s="20" t="s">
        <v>46</v>
      </c>
      <c r="B264" s="20" t="s">
        <v>11</v>
      </c>
      <c r="C264" s="20" t="s">
        <v>6</v>
      </c>
      <c r="D264" s="20" t="s">
        <v>3</v>
      </c>
      <c r="E264" s="20" t="str">
        <f>TEXT(Attendance_Data[[#This Row],[Date]], "mmm")</f>
        <v>May</v>
      </c>
      <c r="F264" s="20" t="str">
        <f>TEXT(Attendance_Data[[#This Row],[Date]], "dddd")</f>
        <v>Saturday</v>
      </c>
      <c r="G264" s="20">
        <f t="shared" si="4"/>
        <v>1</v>
      </c>
    </row>
    <row r="265" spans="1:7" ht="19.5" x14ac:dyDescent="0.25">
      <c r="A265" s="20" t="s">
        <v>8</v>
      </c>
      <c r="B265" s="20" t="s">
        <v>11</v>
      </c>
      <c r="C265" s="20" t="s">
        <v>6</v>
      </c>
      <c r="D265" s="20" t="s">
        <v>7</v>
      </c>
      <c r="E265" s="20" t="str">
        <f>TEXT(Attendance_Data[[#This Row],[Date]], "mmm")</f>
        <v>May</v>
      </c>
      <c r="F265" s="20" t="str">
        <f>TEXT(Attendance_Data[[#This Row],[Date]], "dddd")</f>
        <v>Wednesday</v>
      </c>
      <c r="G265" s="20">
        <f t="shared" si="4"/>
        <v>1</v>
      </c>
    </row>
    <row r="266" spans="1:7" ht="19.5" x14ac:dyDescent="0.25">
      <c r="A266" s="20" t="s">
        <v>38</v>
      </c>
      <c r="B266" s="20" t="s">
        <v>13</v>
      </c>
      <c r="C266" s="20" t="s">
        <v>14</v>
      </c>
      <c r="D266" s="20" t="s">
        <v>37</v>
      </c>
      <c r="E266" s="20" t="str">
        <f>TEXT(Attendance_Data[[#This Row],[Date]], "mmm")</f>
        <v>May</v>
      </c>
      <c r="F266" s="20" t="str">
        <f>TEXT(Attendance_Data[[#This Row],[Date]], "dddd")</f>
        <v>Thursday</v>
      </c>
      <c r="G266" s="20">
        <f t="shared" si="4"/>
        <v>0</v>
      </c>
    </row>
    <row r="267" spans="1:7" ht="19.5" x14ac:dyDescent="0.25">
      <c r="A267" s="20" t="s">
        <v>40</v>
      </c>
      <c r="B267" s="20" t="s">
        <v>13</v>
      </c>
      <c r="C267" s="20" t="s">
        <v>14</v>
      </c>
      <c r="D267" s="20" t="s">
        <v>7</v>
      </c>
      <c r="E267" s="20" t="str">
        <f>TEXT(Attendance_Data[[#This Row],[Date]], "mmm")</f>
        <v>May</v>
      </c>
      <c r="F267" s="20" t="str">
        <f>TEXT(Attendance_Data[[#This Row],[Date]], "dddd")</f>
        <v>Friday</v>
      </c>
      <c r="G267" s="20">
        <f t="shared" si="4"/>
        <v>1</v>
      </c>
    </row>
    <row r="268" spans="1:7" ht="19.5" x14ac:dyDescent="0.25">
      <c r="A268" s="20" t="s">
        <v>31</v>
      </c>
      <c r="B268" s="20" t="s">
        <v>11</v>
      </c>
      <c r="C268" s="20" t="s">
        <v>6</v>
      </c>
      <c r="D268" s="20" t="s">
        <v>7</v>
      </c>
      <c r="E268" s="20" t="str">
        <f>TEXT(Attendance_Data[[#This Row],[Date]], "mmm")</f>
        <v>May</v>
      </c>
      <c r="F268" s="20" t="str">
        <f>TEXT(Attendance_Data[[#This Row],[Date]], "dddd")</f>
        <v>Tuesday</v>
      </c>
      <c r="G268" s="20">
        <f t="shared" si="4"/>
        <v>1</v>
      </c>
    </row>
    <row r="269" spans="1:7" ht="19.5" x14ac:dyDescent="0.25">
      <c r="A269" s="20" t="s">
        <v>48</v>
      </c>
      <c r="B269" s="20" t="s">
        <v>11</v>
      </c>
      <c r="C269" s="20" t="s">
        <v>6</v>
      </c>
      <c r="D269" s="20" t="s">
        <v>7</v>
      </c>
      <c r="E269" s="20" t="str">
        <f>TEXT(Attendance_Data[[#This Row],[Date]], "mmm")</f>
        <v>May</v>
      </c>
      <c r="F269" s="20" t="str">
        <f>TEXT(Attendance_Data[[#This Row],[Date]], "dddd")</f>
        <v>Sunday</v>
      </c>
      <c r="G269" s="20">
        <f t="shared" si="4"/>
        <v>1</v>
      </c>
    </row>
    <row r="270" spans="1:7" ht="19.5" x14ac:dyDescent="0.25">
      <c r="A270" s="20" t="s">
        <v>33</v>
      </c>
      <c r="B270" s="20" t="s">
        <v>1</v>
      </c>
      <c r="C270" s="20" t="s">
        <v>2</v>
      </c>
      <c r="D270" s="20" t="s">
        <v>7</v>
      </c>
      <c r="E270" s="20" t="str">
        <f>TEXT(Attendance_Data[[#This Row],[Date]], "mmm")</f>
        <v>May</v>
      </c>
      <c r="F270" s="20" t="str">
        <f>TEXT(Attendance_Data[[#This Row],[Date]], "dddd")</f>
        <v>Wednesday</v>
      </c>
      <c r="G270" s="20">
        <f t="shared" si="4"/>
        <v>1</v>
      </c>
    </row>
    <row r="271" spans="1:7" ht="19.5" x14ac:dyDescent="0.25">
      <c r="A271" s="20" t="s">
        <v>33</v>
      </c>
      <c r="B271" s="20" t="s">
        <v>13</v>
      </c>
      <c r="C271" s="20" t="s">
        <v>14</v>
      </c>
      <c r="D271" s="20" t="s">
        <v>7</v>
      </c>
      <c r="E271" s="20" t="str">
        <f>TEXT(Attendance_Data[[#This Row],[Date]], "mmm")</f>
        <v>May</v>
      </c>
      <c r="F271" s="20" t="str">
        <f>TEXT(Attendance_Data[[#This Row],[Date]], "dddd")</f>
        <v>Wednesday</v>
      </c>
      <c r="G271" s="20">
        <f t="shared" si="4"/>
        <v>1</v>
      </c>
    </row>
    <row r="272" spans="1:7" ht="19.5" x14ac:dyDescent="0.25">
      <c r="A272" s="20" t="s">
        <v>18</v>
      </c>
      <c r="B272" s="20" t="s">
        <v>16</v>
      </c>
      <c r="C272" s="20" t="s">
        <v>14</v>
      </c>
      <c r="D272" s="20" t="s">
        <v>7</v>
      </c>
      <c r="E272" s="20" t="str">
        <f>TEXT(Attendance_Data[[#This Row],[Date]], "mmm")</f>
        <v>May</v>
      </c>
      <c r="F272" s="20" t="str">
        <f>TEXT(Attendance_Data[[#This Row],[Date]], "dddd")</f>
        <v>Tuesday</v>
      </c>
      <c r="G272" s="20">
        <f t="shared" si="4"/>
        <v>1</v>
      </c>
    </row>
    <row r="273" spans="1:7" ht="19.5" x14ac:dyDescent="0.25">
      <c r="A273" s="20" t="s">
        <v>18</v>
      </c>
      <c r="B273" s="20" t="s">
        <v>43</v>
      </c>
      <c r="C273" s="20" t="s">
        <v>28</v>
      </c>
      <c r="D273" s="20" t="s">
        <v>7</v>
      </c>
      <c r="E273" s="20" t="str">
        <f>TEXT(Attendance_Data[[#This Row],[Date]], "mmm")</f>
        <v>May</v>
      </c>
      <c r="F273" s="20" t="str">
        <f>TEXT(Attendance_Data[[#This Row],[Date]], "dddd")</f>
        <v>Tuesday</v>
      </c>
      <c r="G273" s="20">
        <f t="shared" si="4"/>
        <v>1</v>
      </c>
    </row>
    <row r="274" spans="1:7" ht="19.5" x14ac:dyDescent="0.25">
      <c r="A274" s="20" t="s">
        <v>32</v>
      </c>
      <c r="B274" s="20" t="s">
        <v>5</v>
      </c>
      <c r="C274" s="20" t="s">
        <v>6</v>
      </c>
      <c r="D274" s="20" t="s">
        <v>7</v>
      </c>
      <c r="E274" s="20" t="str">
        <f>TEXT(Attendance_Data[[#This Row],[Date]], "mmm")</f>
        <v>May</v>
      </c>
      <c r="F274" s="20" t="str">
        <f>TEXT(Attendance_Data[[#This Row],[Date]], "dddd")</f>
        <v>Tuesday</v>
      </c>
      <c r="G274" s="20">
        <f t="shared" si="4"/>
        <v>1</v>
      </c>
    </row>
    <row r="275" spans="1:7" ht="19.5" x14ac:dyDescent="0.25">
      <c r="A275" s="20" t="s">
        <v>47</v>
      </c>
      <c r="B275" s="20" t="s">
        <v>11</v>
      </c>
      <c r="C275" s="20" t="s">
        <v>6</v>
      </c>
      <c r="D275" s="20" t="s">
        <v>7</v>
      </c>
      <c r="E275" s="20" t="str">
        <f>TEXT(Attendance_Data[[#This Row],[Date]], "mmm")</f>
        <v>May</v>
      </c>
      <c r="F275" s="20" t="str">
        <f>TEXT(Attendance_Data[[#This Row],[Date]], "dddd")</f>
        <v>Thursday</v>
      </c>
      <c r="G275" s="20">
        <f t="shared" si="4"/>
        <v>1</v>
      </c>
    </row>
    <row r="276" spans="1:7" ht="19.5" x14ac:dyDescent="0.25">
      <c r="A276" s="20" t="s">
        <v>17</v>
      </c>
      <c r="B276" s="20" t="s">
        <v>1</v>
      </c>
      <c r="C276" s="20" t="s">
        <v>2</v>
      </c>
      <c r="D276" s="20" t="s">
        <v>7</v>
      </c>
      <c r="E276" s="20" t="str">
        <f>TEXT(Attendance_Data[[#This Row],[Date]], "mmm")</f>
        <v>May</v>
      </c>
      <c r="F276" s="20" t="str">
        <f>TEXT(Attendance_Data[[#This Row],[Date]], "dddd")</f>
        <v>Friday</v>
      </c>
      <c r="G276" s="20">
        <f t="shared" si="4"/>
        <v>1</v>
      </c>
    </row>
    <row r="277" spans="1:7" ht="19.5" x14ac:dyDescent="0.25">
      <c r="A277" s="20" t="s">
        <v>10</v>
      </c>
      <c r="B277" s="20" t="s">
        <v>30</v>
      </c>
      <c r="C277" s="20" t="s">
        <v>24</v>
      </c>
      <c r="D277" s="20" t="s">
        <v>37</v>
      </c>
      <c r="E277" s="20" t="str">
        <f>TEXT(Attendance_Data[[#This Row],[Date]], "mmm")</f>
        <v>May</v>
      </c>
      <c r="F277" s="20" t="str">
        <f>TEXT(Attendance_Data[[#This Row],[Date]], "dddd")</f>
        <v>Friday</v>
      </c>
      <c r="G277" s="20">
        <f t="shared" si="4"/>
        <v>0</v>
      </c>
    </row>
    <row r="278" spans="1:7" ht="19.5" x14ac:dyDescent="0.25">
      <c r="A278" s="20" t="s">
        <v>31</v>
      </c>
      <c r="B278" s="20" t="s">
        <v>16</v>
      </c>
      <c r="C278" s="20" t="s">
        <v>14</v>
      </c>
      <c r="D278" s="20" t="s">
        <v>7</v>
      </c>
      <c r="E278" s="20" t="str">
        <f>TEXT(Attendance_Data[[#This Row],[Date]], "mmm")</f>
        <v>May</v>
      </c>
      <c r="F278" s="20" t="str">
        <f>TEXT(Attendance_Data[[#This Row],[Date]], "dddd")</f>
        <v>Tuesday</v>
      </c>
      <c r="G278" s="20">
        <f t="shared" si="4"/>
        <v>1</v>
      </c>
    </row>
    <row r="279" spans="1:7" ht="19.5" x14ac:dyDescent="0.25">
      <c r="A279" s="20" t="s">
        <v>40</v>
      </c>
      <c r="B279" s="20" t="s">
        <v>30</v>
      </c>
      <c r="C279" s="20" t="s">
        <v>24</v>
      </c>
      <c r="D279" s="20" t="s">
        <v>3</v>
      </c>
      <c r="E279" s="20" t="str">
        <f>TEXT(Attendance_Data[[#This Row],[Date]], "mmm")</f>
        <v>May</v>
      </c>
      <c r="F279" s="20" t="str">
        <f>TEXT(Attendance_Data[[#This Row],[Date]], "dddd")</f>
        <v>Friday</v>
      </c>
      <c r="G279" s="20">
        <f t="shared" si="4"/>
        <v>1</v>
      </c>
    </row>
    <row r="280" spans="1:7" ht="19.5" x14ac:dyDescent="0.25">
      <c r="A280" s="20" t="s">
        <v>31</v>
      </c>
      <c r="B280" s="20" t="s">
        <v>23</v>
      </c>
      <c r="C280" s="20" t="s">
        <v>24</v>
      </c>
      <c r="D280" s="20" t="s">
        <v>7</v>
      </c>
      <c r="E280" s="20" t="str">
        <f>TEXT(Attendance_Data[[#This Row],[Date]], "mmm")</f>
        <v>May</v>
      </c>
      <c r="F280" s="20" t="str">
        <f>TEXT(Attendance_Data[[#This Row],[Date]], "dddd")</f>
        <v>Tuesday</v>
      </c>
      <c r="G280" s="20">
        <f t="shared" si="4"/>
        <v>1</v>
      </c>
    </row>
    <row r="281" spans="1:7" ht="19.5" x14ac:dyDescent="0.25">
      <c r="A281" s="20" t="s">
        <v>33</v>
      </c>
      <c r="B281" s="20" t="s">
        <v>43</v>
      </c>
      <c r="C281" s="20" t="s">
        <v>28</v>
      </c>
      <c r="D281" s="20" t="s">
        <v>37</v>
      </c>
      <c r="E281" s="20" t="str">
        <f>TEXT(Attendance_Data[[#This Row],[Date]], "mmm")</f>
        <v>May</v>
      </c>
      <c r="F281" s="20" t="str">
        <f>TEXT(Attendance_Data[[#This Row],[Date]], "dddd")</f>
        <v>Wednesday</v>
      </c>
      <c r="G281" s="20">
        <f t="shared" si="4"/>
        <v>0</v>
      </c>
    </row>
    <row r="282" spans="1:7" ht="19.5" x14ac:dyDescent="0.25">
      <c r="A282" s="20" t="s">
        <v>15</v>
      </c>
      <c r="B282" s="20" t="s">
        <v>11</v>
      </c>
      <c r="C282" s="20" t="s">
        <v>6</v>
      </c>
      <c r="D282" s="20" t="s">
        <v>37</v>
      </c>
      <c r="E282" s="20" t="str">
        <f>TEXT(Attendance_Data[[#This Row],[Date]], "mmm")</f>
        <v>May</v>
      </c>
      <c r="F282" s="20" t="str">
        <f>TEXT(Attendance_Data[[#This Row],[Date]], "dddd")</f>
        <v>Sunday</v>
      </c>
      <c r="G282" s="20">
        <f t="shared" si="4"/>
        <v>0</v>
      </c>
    </row>
    <row r="283" spans="1:7" ht="19.5" x14ac:dyDescent="0.25">
      <c r="A283" s="20" t="s">
        <v>22</v>
      </c>
      <c r="B283" s="20" t="s">
        <v>30</v>
      </c>
      <c r="C283" s="20" t="s">
        <v>24</v>
      </c>
      <c r="D283" s="20" t="s">
        <v>7</v>
      </c>
      <c r="E283" s="20" t="str">
        <f>TEXT(Attendance_Data[[#This Row],[Date]], "mmm")</f>
        <v>May</v>
      </c>
      <c r="F283" s="20" t="str">
        <f>TEXT(Attendance_Data[[#This Row],[Date]], "dddd")</f>
        <v>Friday</v>
      </c>
      <c r="G283" s="20">
        <f t="shared" si="4"/>
        <v>1</v>
      </c>
    </row>
    <row r="284" spans="1:7" ht="19.5" x14ac:dyDescent="0.25">
      <c r="A284" s="20" t="s">
        <v>47</v>
      </c>
      <c r="B284" s="20" t="s">
        <v>43</v>
      </c>
      <c r="C284" s="20" t="s">
        <v>28</v>
      </c>
      <c r="D284" s="20" t="s">
        <v>7</v>
      </c>
      <c r="E284" s="20" t="str">
        <f>TEXT(Attendance_Data[[#This Row],[Date]], "mmm")</f>
        <v>May</v>
      </c>
      <c r="F284" s="20" t="str">
        <f>TEXT(Attendance_Data[[#This Row],[Date]], "dddd")</f>
        <v>Thursday</v>
      </c>
      <c r="G284" s="20">
        <f t="shared" si="4"/>
        <v>1</v>
      </c>
    </row>
    <row r="285" spans="1:7" ht="19.5" x14ac:dyDescent="0.25">
      <c r="A285" s="20" t="s">
        <v>22</v>
      </c>
      <c r="B285" s="20" t="s">
        <v>9</v>
      </c>
      <c r="C285" s="20" t="s">
        <v>2</v>
      </c>
      <c r="D285" s="20" t="s">
        <v>7</v>
      </c>
      <c r="E285" s="20" t="str">
        <f>TEXT(Attendance_Data[[#This Row],[Date]], "mmm")</f>
        <v>May</v>
      </c>
      <c r="F285" s="20" t="str">
        <f>TEXT(Attendance_Data[[#This Row],[Date]], "dddd")</f>
        <v>Friday</v>
      </c>
      <c r="G285" s="20">
        <f t="shared" si="4"/>
        <v>1</v>
      </c>
    </row>
    <row r="286" spans="1:7" ht="19.5" x14ac:dyDescent="0.25">
      <c r="A286" s="20" t="s">
        <v>34</v>
      </c>
      <c r="B286" s="20" t="s">
        <v>11</v>
      </c>
      <c r="C286" s="20" t="s">
        <v>6</v>
      </c>
      <c r="D286" s="20" t="s">
        <v>20</v>
      </c>
      <c r="E286" s="20" t="str">
        <f>TEXT(Attendance_Data[[#This Row],[Date]], "mmm")</f>
        <v>May</v>
      </c>
      <c r="F286" s="20" t="str">
        <f>TEXT(Attendance_Data[[#This Row],[Date]], "dddd")</f>
        <v>Saturday</v>
      </c>
      <c r="G286" s="20">
        <f t="shared" si="4"/>
        <v>0</v>
      </c>
    </row>
    <row r="287" spans="1:7" ht="19.5" x14ac:dyDescent="0.25">
      <c r="A287" s="20" t="s">
        <v>36</v>
      </c>
      <c r="B287" s="20" t="s">
        <v>27</v>
      </c>
      <c r="C287" s="20" t="s">
        <v>28</v>
      </c>
      <c r="D287" s="20" t="s">
        <v>7</v>
      </c>
      <c r="E287" s="20" t="str">
        <f>TEXT(Attendance_Data[[#This Row],[Date]], "mmm")</f>
        <v>May</v>
      </c>
      <c r="F287" s="20" t="str">
        <f>TEXT(Attendance_Data[[#This Row],[Date]], "dddd")</f>
        <v>Saturday</v>
      </c>
      <c r="G287" s="20">
        <f t="shared" si="4"/>
        <v>1</v>
      </c>
    </row>
    <row r="288" spans="1:7" ht="19.5" x14ac:dyDescent="0.25">
      <c r="A288" s="20" t="s">
        <v>26</v>
      </c>
      <c r="B288" s="20" t="s">
        <v>9</v>
      </c>
      <c r="C288" s="20" t="s">
        <v>2</v>
      </c>
      <c r="D288" s="20" t="s">
        <v>7</v>
      </c>
      <c r="E288" s="20" t="str">
        <f>TEXT(Attendance_Data[[#This Row],[Date]], "mmm")</f>
        <v>May</v>
      </c>
      <c r="F288" s="20" t="str">
        <f>TEXT(Attendance_Data[[#This Row],[Date]], "dddd")</f>
        <v>Sunday</v>
      </c>
      <c r="G288" s="20">
        <f t="shared" si="4"/>
        <v>1</v>
      </c>
    </row>
    <row r="289" spans="1:7" ht="19.5" x14ac:dyDescent="0.25">
      <c r="A289" s="20" t="s">
        <v>33</v>
      </c>
      <c r="B289" s="20" t="s">
        <v>1</v>
      </c>
      <c r="C289" s="20" t="s">
        <v>2</v>
      </c>
      <c r="D289" s="20" t="s">
        <v>7</v>
      </c>
      <c r="E289" s="20" t="str">
        <f>TEXT(Attendance_Data[[#This Row],[Date]], "mmm")</f>
        <v>May</v>
      </c>
      <c r="F289" s="20" t="str">
        <f>TEXT(Attendance_Data[[#This Row],[Date]], "dddd")</f>
        <v>Wednesday</v>
      </c>
      <c r="G289" s="20">
        <f t="shared" si="4"/>
        <v>1</v>
      </c>
    </row>
    <row r="290" spans="1:7" ht="19.5" x14ac:dyDescent="0.25">
      <c r="A290" s="20" t="s">
        <v>26</v>
      </c>
      <c r="B290" s="20" t="s">
        <v>43</v>
      </c>
      <c r="C290" s="20" t="s">
        <v>28</v>
      </c>
      <c r="D290" s="20" t="s">
        <v>7</v>
      </c>
      <c r="E290" s="20" t="str">
        <f>TEXT(Attendance_Data[[#This Row],[Date]], "mmm")</f>
        <v>May</v>
      </c>
      <c r="F290" s="20" t="str">
        <f>TEXT(Attendance_Data[[#This Row],[Date]], "dddd")</f>
        <v>Sunday</v>
      </c>
      <c r="G290" s="20">
        <f t="shared" si="4"/>
        <v>1</v>
      </c>
    </row>
    <row r="291" spans="1:7" ht="19.5" x14ac:dyDescent="0.25">
      <c r="A291" s="20" t="s">
        <v>45</v>
      </c>
      <c r="B291" s="20" t="s">
        <v>30</v>
      </c>
      <c r="C291" s="20" t="s">
        <v>24</v>
      </c>
      <c r="D291" s="20" t="s">
        <v>7</v>
      </c>
      <c r="E291" s="20" t="str">
        <f>TEXT(Attendance_Data[[#This Row],[Date]], "mmm")</f>
        <v>May</v>
      </c>
      <c r="F291" s="20" t="str">
        <f>TEXT(Attendance_Data[[#This Row],[Date]], "dddd")</f>
        <v>Monday</v>
      </c>
      <c r="G291" s="20">
        <f t="shared" si="4"/>
        <v>1</v>
      </c>
    </row>
    <row r="292" spans="1:7" ht="19.5" x14ac:dyDescent="0.25">
      <c r="A292" s="20" t="s">
        <v>25</v>
      </c>
      <c r="B292" s="20" t="s">
        <v>43</v>
      </c>
      <c r="C292" s="20" t="s">
        <v>28</v>
      </c>
      <c r="D292" s="20" t="s">
        <v>7</v>
      </c>
      <c r="E292" s="20" t="str">
        <f>TEXT(Attendance_Data[[#This Row],[Date]], "mmm")</f>
        <v>May</v>
      </c>
      <c r="F292" s="20" t="str">
        <f>TEXT(Attendance_Data[[#This Row],[Date]], "dddd")</f>
        <v>Sunday</v>
      </c>
      <c r="G292" s="20">
        <f t="shared" si="4"/>
        <v>1</v>
      </c>
    </row>
    <row r="293" spans="1:7" ht="19.5" x14ac:dyDescent="0.25">
      <c r="A293" s="20" t="s">
        <v>21</v>
      </c>
      <c r="B293" s="20" t="s">
        <v>9</v>
      </c>
      <c r="C293" s="20" t="s">
        <v>2</v>
      </c>
      <c r="D293" s="20" t="s">
        <v>7</v>
      </c>
      <c r="E293" s="20" t="str">
        <f>TEXT(Attendance_Data[[#This Row],[Date]], "mmm")</f>
        <v>May</v>
      </c>
      <c r="F293" s="20" t="str">
        <f>TEXT(Attendance_Data[[#This Row],[Date]], "dddd")</f>
        <v>Friday</v>
      </c>
      <c r="G293" s="20">
        <f t="shared" si="4"/>
        <v>1</v>
      </c>
    </row>
    <row r="294" spans="1:7" ht="19.5" x14ac:dyDescent="0.25">
      <c r="A294" s="20" t="s">
        <v>25</v>
      </c>
      <c r="B294" s="20" t="s">
        <v>43</v>
      </c>
      <c r="C294" s="20" t="s">
        <v>28</v>
      </c>
      <c r="D294" s="20" t="s">
        <v>7</v>
      </c>
      <c r="E294" s="20" t="str">
        <f>TEXT(Attendance_Data[[#This Row],[Date]], "mmm")</f>
        <v>May</v>
      </c>
      <c r="F294" s="20" t="str">
        <f>TEXT(Attendance_Data[[#This Row],[Date]], "dddd")</f>
        <v>Sunday</v>
      </c>
      <c r="G294" s="20">
        <f t="shared" si="4"/>
        <v>1</v>
      </c>
    </row>
    <row r="295" spans="1:7" ht="19.5" x14ac:dyDescent="0.25">
      <c r="A295" s="20" t="s">
        <v>12</v>
      </c>
      <c r="B295" s="20" t="s">
        <v>5</v>
      </c>
      <c r="C295" s="20" t="s">
        <v>6</v>
      </c>
      <c r="D295" s="20" t="s">
        <v>3</v>
      </c>
      <c r="E295" s="20" t="str">
        <f>TEXT(Attendance_Data[[#This Row],[Date]], "mmm")</f>
        <v>May</v>
      </c>
      <c r="F295" s="20" t="str">
        <f>TEXT(Attendance_Data[[#This Row],[Date]], "dddd")</f>
        <v>Monday</v>
      </c>
      <c r="G295" s="20">
        <f t="shared" si="4"/>
        <v>1</v>
      </c>
    </row>
    <row r="296" spans="1:7" ht="19.5" x14ac:dyDescent="0.25">
      <c r="A296" s="20" t="s">
        <v>0</v>
      </c>
      <c r="B296" s="20" t="s">
        <v>30</v>
      </c>
      <c r="C296" s="20" t="s">
        <v>24</v>
      </c>
      <c r="D296" s="20" t="s">
        <v>3</v>
      </c>
      <c r="E296" s="20" t="str">
        <f>TEXT(Attendance_Data[[#This Row],[Date]], "mmm")</f>
        <v>May</v>
      </c>
      <c r="F296" s="20" t="str">
        <f>TEXT(Attendance_Data[[#This Row],[Date]], "dddd")</f>
        <v>Wednesday</v>
      </c>
      <c r="G296" s="20">
        <f t="shared" si="4"/>
        <v>1</v>
      </c>
    </row>
    <row r="297" spans="1:7" ht="19.5" x14ac:dyDescent="0.25">
      <c r="A297" s="20" t="s">
        <v>35</v>
      </c>
      <c r="B297" s="20" t="s">
        <v>16</v>
      </c>
      <c r="C297" s="20" t="s">
        <v>14</v>
      </c>
      <c r="D297" s="20" t="s">
        <v>7</v>
      </c>
      <c r="E297" s="20" t="str">
        <f>TEXT(Attendance_Data[[#This Row],[Date]], "mmm")</f>
        <v>May</v>
      </c>
      <c r="F297" s="20" t="str">
        <f>TEXT(Attendance_Data[[#This Row],[Date]], "dddd")</f>
        <v>Wednesday</v>
      </c>
      <c r="G297" s="20">
        <f t="shared" si="4"/>
        <v>1</v>
      </c>
    </row>
    <row r="298" spans="1:7" ht="19.5" x14ac:dyDescent="0.25">
      <c r="A298" s="20" t="s">
        <v>46</v>
      </c>
      <c r="B298" s="20" t="s">
        <v>16</v>
      </c>
      <c r="C298" s="20" t="s">
        <v>14</v>
      </c>
      <c r="D298" s="20" t="s">
        <v>7</v>
      </c>
      <c r="E298" s="20" t="str">
        <f>TEXT(Attendance_Data[[#This Row],[Date]], "mmm")</f>
        <v>May</v>
      </c>
      <c r="F298" s="20" t="str">
        <f>TEXT(Attendance_Data[[#This Row],[Date]], "dddd")</f>
        <v>Saturday</v>
      </c>
      <c r="G298" s="20">
        <f t="shared" si="4"/>
        <v>1</v>
      </c>
    </row>
    <row r="299" spans="1:7" ht="19.5" x14ac:dyDescent="0.25">
      <c r="A299" s="20" t="s">
        <v>40</v>
      </c>
      <c r="B299" s="20" t="s">
        <v>5</v>
      </c>
      <c r="C299" s="20" t="s">
        <v>6</v>
      </c>
      <c r="D299" s="20" t="s">
        <v>37</v>
      </c>
      <c r="E299" s="20" t="str">
        <f>TEXT(Attendance_Data[[#This Row],[Date]], "mmm")</f>
        <v>May</v>
      </c>
      <c r="F299" s="20" t="str">
        <f>TEXT(Attendance_Data[[#This Row],[Date]], "dddd")</f>
        <v>Friday</v>
      </c>
      <c r="G299" s="20">
        <f t="shared" si="4"/>
        <v>0</v>
      </c>
    </row>
    <row r="300" spans="1:7" ht="19.5" x14ac:dyDescent="0.25">
      <c r="A300" s="20" t="s">
        <v>32</v>
      </c>
      <c r="B300" s="20" t="s">
        <v>23</v>
      </c>
      <c r="C300" s="20" t="s">
        <v>24</v>
      </c>
      <c r="D300" s="20" t="s">
        <v>3</v>
      </c>
      <c r="E300" s="20" t="str">
        <f>TEXT(Attendance_Data[[#This Row],[Date]], "mmm")</f>
        <v>May</v>
      </c>
      <c r="F300" s="20" t="str">
        <f>TEXT(Attendance_Data[[#This Row],[Date]], "dddd")</f>
        <v>Tuesday</v>
      </c>
      <c r="G300" s="20">
        <f t="shared" si="4"/>
        <v>1</v>
      </c>
    </row>
    <row r="301" spans="1:7" ht="19.5" x14ac:dyDescent="0.25">
      <c r="A301" s="20" t="s">
        <v>31</v>
      </c>
      <c r="B301" s="20" t="s">
        <v>11</v>
      </c>
      <c r="C301" s="20" t="s">
        <v>6</v>
      </c>
      <c r="D301" s="20" t="s">
        <v>37</v>
      </c>
      <c r="E301" s="20" t="str">
        <f>TEXT(Attendance_Data[[#This Row],[Date]], "mmm")</f>
        <v>May</v>
      </c>
      <c r="F301" s="20" t="str">
        <f>TEXT(Attendance_Data[[#This Row],[Date]], "dddd")</f>
        <v>Tuesday</v>
      </c>
      <c r="G301" s="20">
        <f t="shared" si="4"/>
        <v>0</v>
      </c>
    </row>
    <row r="302" spans="1:7" ht="19.5" x14ac:dyDescent="0.25">
      <c r="A302" s="20" t="s">
        <v>0</v>
      </c>
      <c r="B302" s="20" t="s">
        <v>16</v>
      </c>
      <c r="C302" s="20" t="s">
        <v>14</v>
      </c>
      <c r="D302" s="20" t="s">
        <v>7</v>
      </c>
      <c r="E302" s="20" t="str">
        <f>TEXT(Attendance_Data[[#This Row],[Date]], "mmm")</f>
        <v>May</v>
      </c>
      <c r="F302" s="20" t="str">
        <f>TEXT(Attendance_Data[[#This Row],[Date]], "dddd")</f>
        <v>Wednesday</v>
      </c>
      <c r="G302" s="20">
        <f t="shared" si="4"/>
        <v>1</v>
      </c>
    </row>
    <row r="303" spans="1:7" ht="19.5" x14ac:dyDescent="0.25">
      <c r="A303" s="20" t="s">
        <v>41</v>
      </c>
      <c r="B303" s="20" t="s">
        <v>1</v>
      </c>
      <c r="C303" s="20" t="s">
        <v>2</v>
      </c>
      <c r="D303" s="20" t="s">
        <v>37</v>
      </c>
      <c r="E303" s="20" t="str">
        <f>TEXT(Attendance_Data[[#This Row],[Date]], "mmm")</f>
        <v>May</v>
      </c>
      <c r="F303" s="20" t="str">
        <f>TEXT(Attendance_Data[[#This Row],[Date]], "dddd")</f>
        <v>Monday</v>
      </c>
      <c r="G303" s="20">
        <f t="shared" si="4"/>
        <v>0</v>
      </c>
    </row>
    <row r="304" spans="1:7" ht="19.5" x14ac:dyDescent="0.25">
      <c r="A304" s="20" t="s">
        <v>32</v>
      </c>
      <c r="B304" s="20" t="s">
        <v>27</v>
      </c>
      <c r="C304" s="20" t="s">
        <v>28</v>
      </c>
      <c r="D304" s="20" t="s">
        <v>7</v>
      </c>
      <c r="E304" s="20" t="str">
        <f>TEXT(Attendance_Data[[#This Row],[Date]], "mmm")</f>
        <v>May</v>
      </c>
      <c r="F304" s="20" t="str">
        <f>TEXT(Attendance_Data[[#This Row],[Date]], "dddd")</f>
        <v>Tuesday</v>
      </c>
      <c r="G304" s="20">
        <f t="shared" si="4"/>
        <v>1</v>
      </c>
    </row>
    <row r="305" spans="1:7" ht="19.5" x14ac:dyDescent="0.25">
      <c r="A305" s="20" t="s">
        <v>33</v>
      </c>
      <c r="B305" s="20" t="s">
        <v>11</v>
      </c>
      <c r="C305" s="20" t="s">
        <v>6</v>
      </c>
      <c r="D305" s="20" t="s">
        <v>37</v>
      </c>
      <c r="E305" s="20" t="str">
        <f>TEXT(Attendance_Data[[#This Row],[Date]], "mmm")</f>
        <v>May</v>
      </c>
      <c r="F305" s="20" t="str">
        <f>TEXT(Attendance_Data[[#This Row],[Date]], "dddd")</f>
        <v>Wednesday</v>
      </c>
      <c r="G305" s="20">
        <f t="shared" si="4"/>
        <v>0</v>
      </c>
    </row>
    <row r="306" spans="1:7" ht="19.5" x14ac:dyDescent="0.25">
      <c r="A306" s="20" t="s">
        <v>39</v>
      </c>
      <c r="B306" s="20" t="s">
        <v>11</v>
      </c>
      <c r="C306" s="20" t="s">
        <v>6</v>
      </c>
      <c r="D306" s="20" t="s">
        <v>7</v>
      </c>
      <c r="E306" s="20" t="str">
        <f>TEXT(Attendance_Data[[#This Row],[Date]], "mmm")</f>
        <v>May</v>
      </c>
      <c r="F306" s="20" t="str">
        <f>TEXT(Attendance_Data[[#This Row],[Date]], "dddd")</f>
        <v>Thursday</v>
      </c>
      <c r="G306" s="20">
        <f t="shared" si="4"/>
        <v>1</v>
      </c>
    </row>
    <row r="307" spans="1:7" ht="19.5" x14ac:dyDescent="0.25">
      <c r="A307" s="20" t="s">
        <v>34</v>
      </c>
      <c r="B307" s="20" t="s">
        <v>5</v>
      </c>
      <c r="C307" s="20" t="s">
        <v>6</v>
      </c>
      <c r="D307" s="20" t="s">
        <v>7</v>
      </c>
      <c r="E307" s="20" t="str">
        <f>TEXT(Attendance_Data[[#This Row],[Date]], "mmm")</f>
        <v>May</v>
      </c>
      <c r="F307" s="20" t="str">
        <f>TEXT(Attendance_Data[[#This Row],[Date]], "dddd")</f>
        <v>Saturday</v>
      </c>
      <c r="G307" s="20">
        <f t="shared" si="4"/>
        <v>1</v>
      </c>
    </row>
    <row r="308" spans="1:7" ht="19.5" x14ac:dyDescent="0.25">
      <c r="A308" s="20" t="s">
        <v>36</v>
      </c>
      <c r="B308" s="20" t="s">
        <v>23</v>
      </c>
      <c r="C308" s="20" t="s">
        <v>24</v>
      </c>
      <c r="D308" s="20" t="s">
        <v>37</v>
      </c>
      <c r="E308" s="20" t="str">
        <f>TEXT(Attendance_Data[[#This Row],[Date]], "mmm")</f>
        <v>May</v>
      </c>
      <c r="F308" s="20" t="str">
        <f>TEXT(Attendance_Data[[#This Row],[Date]], "dddd")</f>
        <v>Saturday</v>
      </c>
      <c r="G308" s="20">
        <f t="shared" si="4"/>
        <v>0</v>
      </c>
    </row>
    <row r="309" spans="1:7" ht="19.5" x14ac:dyDescent="0.25">
      <c r="A309" s="20" t="s">
        <v>10</v>
      </c>
      <c r="B309" s="20" t="s">
        <v>9</v>
      </c>
      <c r="C309" s="20" t="s">
        <v>2</v>
      </c>
      <c r="D309" s="20" t="s">
        <v>7</v>
      </c>
      <c r="E309" s="20" t="str">
        <f>TEXT(Attendance_Data[[#This Row],[Date]], "mmm")</f>
        <v>May</v>
      </c>
      <c r="F309" s="20" t="str">
        <f>TEXT(Attendance_Data[[#This Row],[Date]], "dddd")</f>
        <v>Friday</v>
      </c>
      <c r="G309" s="20">
        <f t="shared" si="4"/>
        <v>1</v>
      </c>
    </row>
    <row r="310" spans="1:7" ht="19.5" x14ac:dyDescent="0.25">
      <c r="A310" s="20" t="s">
        <v>17</v>
      </c>
      <c r="B310" s="20" t="s">
        <v>43</v>
      </c>
      <c r="C310" s="20" t="s">
        <v>28</v>
      </c>
      <c r="D310" s="20" t="s">
        <v>20</v>
      </c>
      <c r="E310" s="20" t="str">
        <f>TEXT(Attendance_Data[[#This Row],[Date]], "mmm")</f>
        <v>May</v>
      </c>
      <c r="F310" s="20" t="str">
        <f>TEXT(Attendance_Data[[#This Row],[Date]], "dddd")</f>
        <v>Friday</v>
      </c>
      <c r="G310" s="20">
        <f t="shared" si="4"/>
        <v>0</v>
      </c>
    </row>
    <row r="311" spans="1:7" ht="19.5" x14ac:dyDescent="0.25">
      <c r="A311" s="20" t="s">
        <v>39</v>
      </c>
      <c r="B311" s="20" t="s">
        <v>27</v>
      </c>
      <c r="C311" s="20" t="s">
        <v>28</v>
      </c>
      <c r="D311" s="20" t="s">
        <v>7</v>
      </c>
      <c r="E311" s="20" t="str">
        <f>TEXT(Attendance_Data[[#This Row],[Date]], "mmm")</f>
        <v>May</v>
      </c>
      <c r="F311" s="20" t="str">
        <f>TEXT(Attendance_Data[[#This Row],[Date]], "dddd")</f>
        <v>Thursday</v>
      </c>
      <c r="G311" s="20">
        <f t="shared" si="4"/>
        <v>1</v>
      </c>
    </row>
    <row r="312" spans="1:7" ht="19.5" x14ac:dyDescent="0.25">
      <c r="A312" s="20" t="s">
        <v>32</v>
      </c>
      <c r="B312" s="20" t="s">
        <v>5</v>
      </c>
      <c r="C312" s="20" t="s">
        <v>6</v>
      </c>
      <c r="D312" s="20" t="s">
        <v>3</v>
      </c>
      <c r="E312" s="20" t="str">
        <f>TEXT(Attendance_Data[[#This Row],[Date]], "mmm")</f>
        <v>May</v>
      </c>
      <c r="F312" s="20" t="str">
        <f>TEXT(Attendance_Data[[#This Row],[Date]], "dddd")</f>
        <v>Tuesday</v>
      </c>
      <c r="G312" s="20">
        <f t="shared" si="4"/>
        <v>1</v>
      </c>
    </row>
    <row r="313" spans="1:7" ht="19.5" x14ac:dyDescent="0.25">
      <c r="A313" s="20" t="s">
        <v>38</v>
      </c>
      <c r="B313" s="20" t="s">
        <v>11</v>
      </c>
      <c r="C313" s="20" t="s">
        <v>6</v>
      </c>
      <c r="D313" s="20" t="s">
        <v>7</v>
      </c>
      <c r="E313" s="20" t="str">
        <f>TEXT(Attendance_Data[[#This Row],[Date]], "mmm")</f>
        <v>May</v>
      </c>
      <c r="F313" s="20" t="str">
        <f>TEXT(Attendance_Data[[#This Row],[Date]], "dddd")</f>
        <v>Thursday</v>
      </c>
      <c r="G313" s="20">
        <f t="shared" si="4"/>
        <v>1</v>
      </c>
    </row>
    <row r="314" spans="1:7" ht="19.5" x14ac:dyDescent="0.25">
      <c r="A314" s="20" t="s">
        <v>48</v>
      </c>
      <c r="B314" s="20" t="s">
        <v>5</v>
      </c>
      <c r="C314" s="20" t="s">
        <v>6</v>
      </c>
      <c r="D314" s="20" t="s">
        <v>7</v>
      </c>
      <c r="E314" s="20" t="str">
        <f>TEXT(Attendance_Data[[#This Row],[Date]], "mmm")</f>
        <v>May</v>
      </c>
      <c r="F314" s="20" t="str">
        <f>TEXT(Attendance_Data[[#This Row],[Date]], "dddd")</f>
        <v>Sunday</v>
      </c>
      <c r="G314" s="20">
        <f t="shared" si="4"/>
        <v>1</v>
      </c>
    </row>
    <row r="315" spans="1:7" ht="19.5" x14ac:dyDescent="0.25">
      <c r="A315" s="20" t="s">
        <v>45</v>
      </c>
      <c r="B315" s="20" t="s">
        <v>27</v>
      </c>
      <c r="C315" s="20" t="s">
        <v>28</v>
      </c>
      <c r="D315" s="20" t="s">
        <v>37</v>
      </c>
      <c r="E315" s="20" t="str">
        <f>TEXT(Attendance_Data[[#This Row],[Date]], "mmm")</f>
        <v>May</v>
      </c>
      <c r="F315" s="20" t="str">
        <f>TEXT(Attendance_Data[[#This Row],[Date]], "dddd")</f>
        <v>Monday</v>
      </c>
      <c r="G315" s="20">
        <f t="shared" si="4"/>
        <v>0</v>
      </c>
    </row>
    <row r="316" spans="1:7" ht="19.5" x14ac:dyDescent="0.25">
      <c r="A316" s="20" t="s">
        <v>41</v>
      </c>
      <c r="B316" s="20" t="s">
        <v>30</v>
      </c>
      <c r="C316" s="20" t="s">
        <v>24</v>
      </c>
      <c r="D316" s="20" t="s">
        <v>7</v>
      </c>
      <c r="E316" s="20" t="str">
        <f>TEXT(Attendance_Data[[#This Row],[Date]], "mmm")</f>
        <v>May</v>
      </c>
      <c r="F316" s="20" t="str">
        <f>TEXT(Attendance_Data[[#This Row],[Date]], "dddd")</f>
        <v>Monday</v>
      </c>
      <c r="G316" s="20">
        <f t="shared" si="4"/>
        <v>1</v>
      </c>
    </row>
    <row r="317" spans="1:7" ht="19.5" x14ac:dyDescent="0.25">
      <c r="A317" s="20" t="s">
        <v>25</v>
      </c>
      <c r="B317" s="20" t="s">
        <v>27</v>
      </c>
      <c r="C317" s="20" t="s">
        <v>28</v>
      </c>
      <c r="D317" s="20" t="s">
        <v>7</v>
      </c>
      <c r="E317" s="20" t="str">
        <f>TEXT(Attendance_Data[[#This Row],[Date]], "mmm")</f>
        <v>May</v>
      </c>
      <c r="F317" s="20" t="str">
        <f>TEXT(Attendance_Data[[#This Row],[Date]], "dddd")</f>
        <v>Sunday</v>
      </c>
      <c r="G317" s="20">
        <f t="shared" si="4"/>
        <v>1</v>
      </c>
    </row>
    <row r="318" spans="1:7" ht="19.5" x14ac:dyDescent="0.25">
      <c r="A318" s="20" t="s">
        <v>17</v>
      </c>
      <c r="B318" s="20" t="s">
        <v>13</v>
      </c>
      <c r="C318" s="20" t="s">
        <v>14</v>
      </c>
      <c r="D318" s="20" t="s">
        <v>7</v>
      </c>
      <c r="E318" s="20" t="str">
        <f>TEXT(Attendance_Data[[#This Row],[Date]], "mmm")</f>
        <v>May</v>
      </c>
      <c r="F318" s="20" t="str">
        <f>TEXT(Attendance_Data[[#This Row],[Date]], "dddd")</f>
        <v>Friday</v>
      </c>
      <c r="G318" s="20">
        <f t="shared" si="4"/>
        <v>1</v>
      </c>
    </row>
    <row r="319" spans="1:7" ht="19.5" x14ac:dyDescent="0.25">
      <c r="A319" s="20" t="s">
        <v>8</v>
      </c>
      <c r="B319" s="20" t="s">
        <v>23</v>
      </c>
      <c r="C319" s="20" t="s">
        <v>24</v>
      </c>
      <c r="D319" s="20" t="s">
        <v>7</v>
      </c>
      <c r="E319" s="20" t="str">
        <f>TEXT(Attendance_Data[[#This Row],[Date]], "mmm")</f>
        <v>May</v>
      </c>
      <c r="F319" s="20" t="str">
        <f>TEXT(Attendance_Data[[#This Row],[Date]], "dddd")</f>
        <v>Wednesday</v>
      </c>
      <c r="G319" s="20">
        <f t="shared" si="4"/>
        <v>1</v>
      </c>
    </row>
    <row r="320" spans="1:7" ht="19.5" x14ac:dyDescent="0.25">
      <c r="A320" s="20" t="s">
        <v>31</v>
      </c>
      <c r="B320" s="20" t="s">
        <v>5</v>
      </c>
      <c r="C320" s="20" t="s">
        <v>6</v>
      </c>
      <c r="D320" s="20" t="s">
        <v>7</v>
      </c>
      <c r="E320" s="20" t="str">
        <f>TEXT(Attendance_Data[[#This Row],[Date]], "mmm")</f>
        <v>May</v>
      </c>
      <c r="F320" s="20" t="str">
        <f>TEXT(Attendance_Data[[#This Row],[Date]], "dddd")</f>
        <v>Tuesday</v>
      </c>
      <c r="G320" s="20">
        <f t="shared" si="4"/>
        <v>1</v>
      </c>
    </row>
    <row r="321" spans="1:7" ht="19.5" x14ac:dyDescent="0.25">
      <c r="A321" s="20" t="s">
        <v>33</v>
      </c>
      <c r="B321" s="20" t="s">
        <v>16</v>
      </c>
      <c r="C321" s="20" t="s">
        <v>14</v>
      </c>
      <c r="D321" s="20" t="s">
        <v>7</v>
      </c>
      <c r="E321" s="20" t="str">
        <f>TEXT(Attendance_Data[[#This Row],[Date]], "mmm")</f>
        <v>May</v>
      </c>
      <c r="F321" s="20" t="str">
        <f>TEXT(Attendance_Data[[#This Row],[Date]], "dddd")</f>
        <v>Wednesday</v>
      </c>
      <c r="G321" s="20">
        <f t="shared" si="4"/>
        <v>1</v>
      </c>
    </row>
    <row r="322" spans="1:7" ht="19.5" x14ac:dyDescent="0.25">
      <c r="A322" s="20" t="s">
        <v>17</v>
      </c>
      <c r="B322" s="20" t="s">
        <v>27</v>
      </c>
      <c r="C322" s="20" t="s">
        <v>28</v>
      </c>
      <c r="D322" s="20" t="s">
        <v>7</v>
      </c>
      <c r="E322" s="20" t="str">
        <f>TEXT(Attendance_Data[[#This Row],[Date]], "mmm")</f>
        <v>May</v>
      </c>
      <c r="F322" s="20" t="str">
        <f>TEXT(Attendance_Data[[#This Row],[Date]], "dddd")</f>
        <v>Friday</v>
      </c>
      <c r="G322" s="20">
        <f t="shared" ref="G322:G385" si="5">IF(OR(D322="Present", D322="Late"),1,0)</f>
        <v>1</v>
      </c>
    </row>
    <row r="323" spans="1:7" ht="19.5" x14ac:dyDescent="0.25">
      <c r="A323" s="20" t="s">
        <v>31</v>
      </c>
      <c r="B323" s="20" t="s">
        <v>9</v>
      </c>
      <c r="C323" s="20" t="s">
        <v>2</v>
      </c>
      <c r="D323" s="20" t="s">
        <v>7</v>
      </c>
      <c r="E323" s="20" t="str">
        <f>TEXT(Attendance_Data[[#This Row],[Date]], "mmm")</f>
        <v>May</v>
      </c>
      <c r="F323" s="20" t="str">
        <f>TEXT(Attendance_Data[[#This Row],[Date]], "dddd")</f>
        <v>Tuesday</v>
      </c>
      <c r="G323" s="20">
        <f t="shared" si="5"/>
        <v>1</v>
      </c>
    </row>
    <row r="324" spans="1:7" ht="19.5" x14ac:dyDescent="0.25">
      <c r="A324" s="20" t="s">
        <v>40</v>
      </c>
      <c r="B324" s="20" t="s">
        <v>9</v>
      </c>
      <c r="C324" s="20" t="s">
        <v>2</v>
      </c>
      <c r="D324" s="20" t="s">
        <v>7</v>
      </c>
      <c r="E324" s="20" t="str">
        <f>TEXT(Attendance_Data[[#This Row],[Date]], "mmm")</f>
        <v>May</v>
      </c>
      <c r="F324" s="20" t="str">
        <f>TEXT(Attendance_Data[[#This Row],[Date]], "dddd")</f>
        <v>Friday</v>
      </c>
      <c r="G324" s="20">
        <f t="shared" si="5"/>
        <v>1</v>
      </c>
    </row>
    <row r="325" spans="1:7" ht="19.5" x14ac:dyDescent="0.25">
      <c r="A325" s="20" t="s">
        <v>0</v>
      </c>
      <c r="B325" s="20" t="s">
        <v>27</v>
      </c>
      <c r="C325" s="20" t="s">
        <v>28</v>
      </c>
      <c r="D325" s="20" t="s">
        <v>7</v>
      </c>
      <c r="E325" s="20" t="str">
        <f>TEXT(Attendance_Data[[#This Row],[Date]], "mmm")</f>
        <v>May</v>
      </c>
      <c r="F325" s="20" t="str">
        <f>TEXT(Attendance_Data[[#This Row],[Date]], "dddd")</f>
        <v>Wednesday</v>
      </c>
      <c r="G325" s="20">
        <f t="shared" si="5"/>
        <v>1</v>
      </c>
    </row>
    <row r="326" spans="1:7" ht="19.5" x14ac:dyDescent="0.25">
      <c r="A326" s="20" t="s">
        <v>41</v>
      </c>
      <c r="B326" s="20" t="s">
        <v>16</v>
      </c>
      <c r="C326" s="20" t="s">
        <v>14</v>
      </c>
      <c r="D326" s="20" t="s">
        <v>3</v>
      </c>
      <c r="E326" s="20" t="str">
        <f>TEXT(Attendance_Data[[#This Row],[Date]], "mmm")</f>
        <v>May</v>
      </c>
      <c r="F326" s="20" t="str">
        <f>TEXT(Attendance_Data[[#This Row],[Date]], "dddd")</f>
        <v>Monday</v>
      </c>
      <c r="G326" s="20">
        <f t="shared" si="5"/>
        <v>1</v>
      </c>
    </row>
    <row r="327" spans="1:7" ht="19.5" x14ac:dyDescent="0.25">
      <c r="A327" s="20" t="s">
        <v>36</v>
      </c>
      <c r="B327" s="20" t="s">
        <v>27</v>
      </c>
      <c r="C327" s="20" t="s">
        <v>28</v>
      </c>
      <c r="D327" s="20" t="s">
        <v>7</v>
      </c>
      <c r="E327" s="20" t="str">
        <f>TEXT(Attendance_Data[[#This Row],[Date]], "mmm")</f>
        <v>May</v>
      </c>
      <c r="F327" s="20" t="str">
        <f>TEXT(Attendance_Data[[#This Row],[Date]], "dddd")</f>
        <v>Saturday</v>
      </c>
      <c r="G327" s="20">
        <f t="shared" si="5"/>
        <v>1</v>
      </c>
    </row>
    <row r="328" spans="1:7" ht="19.5" x14ac:dyDescent="0.25">
      <c r="A328" s="20" t="s">
        <v>48</v>
      </c>
      <c r="B328" s="20" t="s">
        <v>11</v>
      </c>
      <c r="C328" s="20" t="s">
        <v>6</v>
      </c>
      <c r="D328" s="20" t="s">
        <v>7</v>
      </c>
      <c r="E328" s="20" t="str">
        <f>TEXT(Attendance_Data[[#This Row],[Date]], "mmm")</f>
        <v>May</v>
      </c>
      <c r="F328" s="20" t="str">
        <f>TEXT(Attendance_Data[[#This Row],[Date]], "dddd")</f>
        <v>Sunday</v>
      </c>
      <c r="G328" s="20">
        <f t="shared" si="5"/>
        <v>1</v>
      </c>
    </row>
    <row r="329" spans="1:7" ht="19.5" x14ac:dyDescent="0.25">
      <c r="A329" s="20" t="s">
        <v>19</v>
      </c>
      <c r="B329" s="20" t="s">
        <v>30</v>
      </c>
      <c r="C329" s="20" t="s">
        <v>24</v>
      </c>
      <c r="D329" s="20" t="s">
        <v>3</v>
      </c>
      <c r="E329" s="20" t="str">
        <f>TEXT(Attendance_Data[[#This Row],[Date]], "mmm")</f>
        <v>May</v>
      </c>
      <c r="F329" s="20" t="str">
        <f>TEXT(Attendance_Data[[#This Row],[Date]], "dddd")</f>
        <v>Saturday</v>
      </c>
      <c r="G329" s="20">
        <f t="shared" si="5"/>
        <v>1</v>
      </c>
    </row>
    <row r="330" spans="1:7" ht="19.5" x14ac:dyDescent="0.25">
      <c r="A330" s="20" t="s">
        <v>32</v>
      </c>
      <c r="B330" s="20" t="s">
        <v>5</v>
      </c>
      <c r="C330" s="20" t="s">
        <v>6</v>
      </c>
      <c r="D330" s="20" t="s">
        <v>7</v>
      </c>
      <c r="E330" s="20" t="str">
        <f>TEXT(Attendance_Data[[#This Row],[Date]], "mmm")</f>
        <v>May</v>
      </c>
      <c r="F330" s="20" t="str">
        <f>TEXT(Attendance_Data[[#This Row],[Date]], "dddd")</f>
        <v>Tuesday</v>
      </c>
      <c r="G330" s="20">
        <f t="shared" si="5"/>
        <v>1</v>
      </c>
    </row>
    <row r="331" spans="1:7" ht="19.5" x14ac:dyDescent="0.25">
      <c r="A331" s="20" t="s">
        <v>41</v>
      </c>
      <c r="B331" s="20" t="s">
        <v>11</v>
      </c>
      <c r="C331" s="20" t="s">
        <v>6</v>
      </c>
      <c r="D331" s="20" t="s">
        <v>7</v>
      </c>
      <c r="E331" s="20" t="str">
        <f>TEXT(Attendance_Data[[#This Row],[Date]], "mmm")</f>
        <v>May</v>
      </c>
      <c r="F331" s="20" t="str">
        <f>TEXT(Attendance_Data[[#This Row],[Date]], "dddd")</f>
        <v>Monday</v>
      </c>
      <c r="G331" s="20">
        <f t="shared" si="5"/>
        <v>1</v>
      </c>
    </row>
    <row r="332" spans="1:7" ht="19.5" x14ac:dyDescent="0.25">
      <c r="A332" s="20" t="s">
        <v>42</v>
      </c>
      <c r="B332" s="20" t="s">
        <v>43</v>
      </c>
      <c r="C332" s="20" t="s">
        <v>28</v>
      </c>
      <c r="D332" s="20" t="s">
        <v>7</v>
      </c>
      <c r="E332" s="20" t="str">
        <f>TEXT(Attendance_Data[[#This Row],[Date]], "mmm")</f>
        <v>May</v>
      </c>
      <c r="F332" s="20" t="str">
        <f>TEXT(Attendance_Data[[#This Row],[Date]], "dddd")</f>
        <v>Tuesday</v>
      </c>
      <c r="G332" s="20">
        <f t="shared" si="5"/>
        <v>1</v>
      </c>
    </row>
    <row r="333" spans="1:7" ht="19.5" x14ac:dyDescent="0.25">
      <c r="A333" s="20" t="s">
        <v>38</v>
      </c>
      <c r="B333" s="20" t="s">
        <v>9</v>
      </c>
      <c r="C333" s="20" t="s">
        <v>2</v>
      </c>
      <c r="D333" s="20" t="s">
        <v>7</v>
      </c>
      <c r="E333" s="20" t="str">
        <f>TEXT(Attendance_Data[[#This Row],[Date]], "mmm")</f>
        <v>May</v>
      </c>
      <c r="F333" s="20" t="str">
        <f>TEXT(Attendance_Data[[#This Row],[Date]], "dddd")</f>
        <v>Thursday</v>
      </c>
      <c r="G333" s="20">
        <f t="shared" si="5"/>
        <v>1</v>
      </c>
    </row>
    <row r="334" spans="1:7" ht="19.5" x14ac:dyDescent="0.25">
      <c r="A334" s="20" t="s">
        <v>35</v>
      </c>
      <c r="B334" s="20" t="s">
        <v>30</v>
      </c>
      <c r="C334" s="20" t="s">
        <v>24</v>
      </c>
      <c r="D334" s="20" t="s">
        <v>7</v>
      </c>
      <c r="E334" s="20" t="str">
        <f>TEXT(Attendance_Data[[#This Row],[Date]], "mmm")</f>
        <v>May</v>
      </c>
      <c r="F334" s="20" t="str">
        <f>TEXT(Attendance_Data[[#This Row],[Date]], "dddd")</f>
        <v>Wednesday</v>
      </c>
      <c r="G334" s="20">
        <f t="shared" si="5"/>
        <v>1</v>
      </c>
    </row>
    <row r="335" spans="1:7" ht="19.5" x14ac:dyDescent="0.25">
      <c r="A335" s="20" t="s">
        <v>48</v>
      </c>
      <c r="B335" s="20" t="s">
        <v>5</v>
      </c>
      <c r="C335" s="20" t="s">
        <v>6</v>
      </c>
      <c r="D335" s="20" t="s">
        <v>7</v>
      </c>
      <c r="E335" s="20" t="str">
        <f>TEXT(Attendance_Data[[#This Row],[Date]], "mmm")</f>
        <v>May</v>
      </c>
      <c r="F335" s="20" t="str">
        <f>TEXT(Attendance_Data[[#This Row],[Date]], "dddd")</f>
        <v>Sunday</v>
      </c>
      <c r="G335" s="20">
        <f t="shared" si="5"/>
        <v>1</v>
      </c>
    </row>
    <row r="336" spans="1:7" ht="19.5" x14ac:dyDescent="0.25">
      <c r="A336" s="20" t="s">
        <v>31</v>
      </c>
      <c r="B336" s="20" t="s">
        <v>30</v>
      </c>
      <c r="C336" s="20" t="s">
        <v>24</v>
      </c>
      <c r="D336" s="20" t="s">
        <v>7</v>
      </c>
      <c r="E336" s="20" t="str">
        <f>TEXT(Attendance_Data[[#This Row],[Date]], "mmm")</f>
        <v>May</v>
      </c>
      <c r="F336" s="20" t="str">
        <f>TEXT(Attendance_Data[[#This Row],[Date]], "dddd")</f>
        <v>Tuesday</v>
      </c>
      <c r="G336" s="20">
        <f t="shared" si="5"/>
        <v>1</v>
      </c>
    </row>
    <row r="337" spans="1:7" ht="19.5" x14ac:dyDescent="0.25">
      <c r="A337" s="20" t="s">
        <v>46</v>
      </c>
      <c r="B337" s="20" t="s">
        <v>5</v>
      </c>
      <c r="C337" s="20" t="s">
        <v>6</v>
      </c>
      <c r="D337" s="20" t="s">
        <v>7</v>
      </c>
      <c r="E337" s="20" t="str">
        <f>TEXT(Attendance_Data[[#This Row],[Date]], "mmm")</f>
        <v>May</v>
      </c>
      <c r="F337" s="20" t="str">
        <f>TEXT(Attendance_Data[[#This Row],[Date]], "dddd")</f>
        <v>Saturday</v>
      </c>
      <c r="G337" s="20">
        <f t="shared" si="5"/>
        <v>1</v>
      </c>
    </row>
    <row r="338" spans="1:7" ht="19.5" x14ac:dyDescent="0.25">
      <c r="A338" s="20" t="s">
        <v>4</v>
      </c>
      <c r="B338" s="20" t="s">
        <v>30</v>
      </c>
      <c r="C338" s="20" t="s">
        <v>24</v>
      </c>
      <c r="D338" s="20" t="s">
        <v>37</v>
      </c>
      <c r="E338" s="20" t="str">
        <f>TEXT(Attendance_Data[[#This Row],[Date]], "mmm")</f>
        <v>May</v>
      </c>
      <c r="F338" s="20" t="str">
        <f>TEXT(Attendance_Data[[#This Row],[Date]], "dddd")</f>
        <v>Thursday</v>
      </c>
      <c r="G338" s="20">
        <f t="shared" si="5"/>
        <v>0</v>
      </c>
    </row>
    <row r="339" spans="1:7" ht="19.5" x14ac:dyDescent="0.25">
      <c r="A339" s="20" t="s">
        <v>12</v>
      </c>
      <c r="B339" s="20" t="s">
        <v>43</v>
      </c>
      <c r="C339" s="20" t="s">
        <v>28</v>
      </c>
      <c r="D339" s="20" t="s">
        <v>7</v>
      </c>
      <c r="E339" s="20" t="str">
        <f>TEXT(Attendance_Data[[#This Row],[Date]], "mmm")</f>
        <v>May</v>
      </c>
      <c r="F339" s="20" t="str">
        <f>TEXT(Attendance_Data[[#This Row],[Date]], "dddd")</f>
        <v>Monday</v>
      </c>
      <c r="G339" s="20">
        <f t="shared" si="5"/>
        <v>1</v>
      </c>
    </row>
    <row r="340" spans="1:7" ht="19.5" x14ac:dyDescent="0.25">
      <c r="A340" s="20" t="s">
        <v>25</v>
      </c>
      <c r="B340" s="20" t="s">
        <v>30</v>
      </c>
      <c r="C340" s="20" t="s">
        <v>24</v>
      </c>
      <c r="D340" s="20" t="s">
        <v>7</v>
      </c>
      <c r="E340" s="20" t="str">
        <f>TEXT(Attendance_Data[[#This Row],[Date]], "mmm")</f>
        <v>May</v>
      </c>
      <c r="F340" s="20" t="str">
        <f>TEXT(Attendance_Data[[#This Row],[Date]], "dddd")</f>
        <v>Sunday</v>
      </c>
      <c r="G340" s="20">
        <f t="shared" si="5"/>
        <v>1</v>
      </c>
    </row>
    <row r="341" spans="1:7" ht="19.5" x14ac:dyDescent="0.25">
      <c r="A341" s="20" t="s">
        <v>8</v>
      </c>
      <c r="B341" s="20" t="s">
        <v>16</v>
      </c>
      <c r="C341" s="20" t="s">
        <v>14</v>
      </c>
      <c r="D341" s="20" t="s">
        <v>7</v>
      </c>
      <c r="E341" s="20" t="str">
        <f>TEXT(Attendance_Data[[#This Row],[Date]], "mmm")</f>
        <v>May</v>
      </c>
      <c r="F341" s="20" t="str">
        <f>TEXT(Attendance_Data[[#This Row],[Date]], "dddd")</f>
        <v>Wednesday</v>
      </c>
      <c r="G341" s="20">
        <f t="shared" si="5"/>
        <v>1</v>
      </c>
    </row>
    <row r="342" spans="1:7" ht="19.5" x14ac:dyDescent="0.25">
      <c r="A342" s="20" t="s">
        <v>32</v>
      </c>
      <c r="B342" s="20" t="s">
        <v>9</v>
      </c>
      <c r="C342" s="20" t="s">
        <v>2</v>
      </c>
      <c r="D342" s="20" t="s">
        <v>7</v>
      </c>
      <c r="E342" s="20" t="str">
        <f>TEXT(Attendance_Data[[#This Row],[Date]], "mmm")</f>
        <v>May</v>
      </c>
      <c r="F342" s="20" t="str">
        <f>TEXT(Attendance_Data[[#This Row],[Date]], "dddd")</f>
        <v>Tuesday</v>
      </c>
      <c r="G342" s="20">
        <f t="shared" si="5"/>
        <v>1</v>
      </c>
    </row>
    <row r="343" spans="1:7" ht="19.5" x14ac:dyDescent="0.25">
      <c r="A343" s="20" t="s">
        <v>46</v>
      </c>
      <c r="B343" s="20" t="s">
        <v>1</v>
      </c>
      <c r="C343" s="20" t="s">
        <v>2</v>
      </c>
      <c r="D343" s="20" t="s">
        <v>7</v>
      </c>
      <c r="E343" s="20" t="str">
        <f>TEXT(Attendance_Data[[#This Row],[Date]], "mmm")</f>
        <v>May</v>
      </c>
      <c r="F343" s="20" t="str">
        <f>TEXT(Attendance_Data[[#This Row],[Date]], "dddd")</f>
        <v>Saturday</v>
      </c>
      <c r="G343" s="20">
        <f t="shared" si="5"/>
        <v>1</v>
      </c>
    </row>
    <row r="344" spans="1:7" ht="19.5" x14ac:dyDescent="0.25">
      <c r="A344" s="20" t="s">
        <v>18</v>
      </c>
      <c r="B344" s="20" t="s">
        <v>30</v>
      </c>
      <c r="C344" s="20" t="s">
        <v>24</v>
      </c>
      <c r="D344" s="20" t="s">
        <v>3</v>
      </c>
      <c r="E344" s="20" t="str">
        <f>TEXT(Attendance_Data[[#This Row],[Date]], "mmm")</f>
        <v>May</v>
      </c>
      <c r="F344" s="20" t="str">
        <f>TEXT(Attendance_Data[[#This Row],[Date]], "dddd")</f>
        <v>Tuesday</v>
      </c>
      <c r="G344" s="20">
        <f t="shared" si="5"/>
        <v>1</v>
      </c>
    </row>
    <row r="345" spans="1:7" ht="19.5" x14ac:dyDescent="0.25">
      <c r="A345" s="20" t="s">
        <v>34</v>
      </c>
      <c r="B345" s="20" t="s">
        <v>9</v>
      </c>
      <c r="C345" s="20" t="s">
        <v>2</v>
      </c>
      <c r="D345" s="20" t="s">
        <v>7</v>
      </c>
      <c r="E345" s="20" t="str">
        <f>TEXT(Attendance_Data[[#This Row],[Date]], "mmm")</f>
        <v>May</v>
      </c>
      <c r="F345" s="20" t="str">
        <f>TEXT(Attendance_Data[[#This Row],[Date]], "dddd")</f>
        <v>Saturday</v>
      </c>
      <c r="G345" s="20">
        <f t="shared" si="5"/>
        <v>1</v>
      </c>
    </row>
    <row r="346" spans="1:7" ht="19.5" x14ac:dyDescent="0.25">
      <c r="A346" s="20" t="s">
        <v>45</v>
      </c>
      <c r="B346" s="20" t="s">
        <v>1</v>
      </c>
      <c r="C346" s="20" t="s">
        <v>2</v>
      </c>
      <c r="D346" s="20" t="s">
        <v>7</v>
      </c>
      <c r="E346" s="20" t="str">
        <f>TEXT(Attendance_Data[[#This Row],[Date]], "mmm")</f>
        <v>May</v>
      </c>
      <c r="F346" s="20" t="str">
        <f>TEXT(Attendance_Data[[#This Row],[Date]], "dddd")</f>
        <v>Monday</v>
      </c>
      <c r="G346" s="20">
        <f t="shared" si="5"/>
        <v>1</v>
      </c>
    </row>
    <row r="347" spans="1:7" ht="19.5" x14ac:dyDescent="0.25">
      <c r="A347" s="20" t="s">
        <v>48</v>
      </c>
      <c r="B347" s="20" t="s">
        <v>16</v>
      </c>
      <c r="C347" s="20" t="s">
        <v>14</v>
      </c>
      <c r="D347" s="20" t="s">
        <v>7</v>
      </c>
      <c r="E347" s="20" t="str">
        <f>TEXT(Attendance_Data[[#This Row],[Date]], "mmm")</f>
        <v>May</v>
      </c>
      <c r="F347" s="20" t="str">
        <f>TEXT(Attendance_Data[[#This Row],[Date]], "dddd")</f>
        <v>Sunday</v>
      </c>
      <c r="G347" s="20">
        <f t="shared" si="5"/>
        <v>1</v>
      </c>
    </row>
    <row r="348" spans="1:7" ht="19.5" x14ac:dyDescent="0.25">
      <c r="A348" s="20" t="s">
        <v>26</v>
      </c>
      <c r="B348" s="20" t="s">
        <v>9</v>
      </c>
      <c r="C348" s="20" t="s">
        <v>2</v>
      </c>
      <c r="D348" s="20" t="s">
        <v>7</v>
      </c>
      <c r="E348" s="20" t="str">
        <f>TEXT(Attendance_Data[[#This Row],[Date]], "mmm")</f>
        <v>May</v>
      </c>
      <c r="F348" s="20" t="str">
        <f>TEXT(Attendance_Data[[#This Row],[Date]], "dddd")</f>
        <v>Sunday</v>
      </c>
      <c r="G348" s="20">
        <f t="shared" si="5"/>
        <v>1</v>
      </c>
    </row>
    <row r="349" spans="1:7" ht="19.5" x14ac:dyDescent="0.25">
      <c r="A349" s="20" t="s">
        <v>49</v>
      </c>
      <c r="B349" s="20" t="s">
        <v>1</v>
      </c>
      <c r="C349" s="20" t="s">
        <v>2</v>
      </c>
      <c r="D349" s="20" t="s">
        <v>7</v>
      </c>
      <c r="E349" s="20" t="str">
        <f>TEXT(Attendance_Data[[#This Row],[Date]], "mmm")</f>
        <v>May</v>
      </c>
      <c r="F349" s="20" t="str">
        <f>TEXT(Attendance_Data[[#This Row],[Date]], "dddd")</f>
        <v>Thursday</v>
      </c>
      <c r="G349" s="20">
        <f t="shared" si="5"/>
        <v>1</v>
      </c>
    </row>
    <row r="350" spans="1:7" ht="19.5" x14ac:dyDescent="0.25">
      <c r="A350" s="20" t="s">
        <v>44</v>
      </c>
      <c r="B350" s="20" t="s">
        <v>13</v>
      </c>
      <c r="C350" s="20" t="s">
        <v>14</v>
      </c>
      <c r="D350" s="20" t="s">
        <v>7</v>
      </c>
      <c r="E350" s="20" t="str">
        <f>TEXT(Attendance_Data[[#This Row],[Date]], "mmm")</f>
        <v>May</v>
      </c>
      <c r="F350" s="20" t="str">
        <f>TEXT(Attendance_Data[[#This Row],[Date]], "dddd")</f>
        <v>Saturday</v>
      </c>
      <c r="G350" s="20">
        <f t="shared" si="5"/>
        <v>1</v>
      </c>
    </row>
    <row r="351" spans="1:7" ht="19.5" x14ac:dyDescent="0.25">
      <c r="A351" s="20" t="s">
        <v>21</v>
      </c>
      <c r="B351" s="20" t="s">
        <v>27</v>
      </c>
      <c r="C351" s="20" t="s">
        <v>28</v>
      </c>
      <c r="D351" s="20" t="s">
        <v>7</v>
      </c>
      <c r="E351" s="20" t="str">
        <f>TEXT(Attendance_Data[[#This Row],[Date]], "mmm")</f>
        <v>May</v>
      </c>
      <c r="F351" s="20" t="str">
        <f>TEXT(Attendance_Data[[#This Row],[Date]], "dddd")</f>
        <v>Friday</v>
      </c>
      <c r="G351" s="20">
        <f t="shared" si="5"/>
        <v>1</v>
      </c>
    </row>
    <row r="352" spans="1:7" ht="19.5" x14ac:dyDescent="0.25">
      <c r="A352" s="20" t="s">
        <v>0</v>
      </c>
      <c r="B352" s="20" t="s">
        <v>30</v>
      </c>
      <c r="C352" s="20" t="s">
        <v>24</v>
      </c>
      <c r="D352" s="20" t="s">
        <v>7</v>
      </c>
      <c r="E352" s="20" t="str">
        <f>TEXT(Attendance_Data[[#This Row],[Date]], "mmm")</f>
        <v>May</v>
      </c>
      <c r="F352" s="20" t="str">
        <f>TEXT(Attendance_Data[[#This Row],[Date]], "dddd")</f>
        <v>Wednesday</v>
      </c>
      <c r="G352" s="20">
        <f t="shared" si="5"/>
        <v>1</v>
      </c>
    </row>
    <row r="353" spans="1:7" ht="19.5" x14ac:dyDescent="0.25">
      <c r="A353" s="20" t="s">
        <v>35</v>
      </c>
      <c r="B353" s="20" t="s">
        <v>23</v>
      </c>
      <c r="C353" s="20" t="s">
        <v>24</v>
      </c>
      <c r="D353" s="20" t="s">
        <v>7</v>
      </c>
      <c r="E353" s="20" t="str">
        <f>TEXT(Attendance_Data[[#This Row],[Date]], "mmm")</f>
        <v>May</v>
      </c>
      <c r="F353" s="20" t="str">
        <f>TEXT(Attendance_Data[[#This Row],[Date]], "dddd")</f>
        <v>Wednesday</v>
      </c>
      <c r="G353" s="20">
        <f t="shared" si="5"/>
        <v>1</v>
      </c>
    </row>
    <row r="354" spans="1:7" ht="19.5" x14ac:dyDescent="0.25">
      <c r="A354" s="20" t="s">
        <v>41</v>
      </c>
      <c r="B354" s="20" t="s">
        <v>9</v>
      </c>
      <c r="C354" s="20" t="s">
        <v>2</v>
      </c>
      <c r="D354" s="20" t="s">
        <v>7</v>
      </c>
      <c r="E354" s="20" t="str">
        <f>TEXT(Attendance_Data[[#This Row],[Date]], "mmm")</f>
        <v>May</v>
      </c>
      <c r="F354" s="20" t="str">
        <f>TEXT(Attendance_Data[[#This Row],[Date]], "dddd")</f>
        <v>Monday</v>
      </c>
      <c r="G354" s="20">
        <f t="shared" si="5"/>
        <v>1</v>
      </c>
    </row>
    <row r="355" spans="1:7" ht="19.5" x14ac:dyDescent="0.25">
      <c r="A355" s="20" t="s">
        <v>32</v>
      </c>
      <c r="B355" s="20" t="s">
        <v>5</v>
      </c>
      <c r="C355" s="20" t="s">
        <v>6</v>
      </c>
      <c r="D355" s="20" t="s">
        <v>37</v>
      </c>
      <c r="E355" s="20" t="str">
        <f>TEXT(Attendance_Data[[#This Row],[Date]], "mmm")</f>
        <v>May</v>
      </c>
      <c r="F355" s="20" t="str">
        <f>TEXT(Attendance_Data[[#This Row],[Date]], "dddd")</f>
        <v>Tuesday</v>
      </c>
      <c r="G355" s="20">
        <f t="shared" si="5"/>
        <v>0</v>
      </c>
    </row>
    <row r="356" spans="1:7" ht="19.5" x14ac:dyDescent="0.25">
      <c r="A356" s="20" t="s">
        <v>10</v>
      </c>
      <c r="B356" s="20" t="s">
        <v>13</v>
      </c>
      <c r="C356" s="20" t="s">
        <v>14</v>
      </c>
      <c r="D356" s="20" t="s">
        <v>37</v>
      </c>
      <c r="E356" s="20" t="str">
        <f>TEXT(Attendance_Data[[#This Row],[Date]], "mmm")</f>
        <v>May</v>
      </c>
      <c r="F356" s="20" t="str">
        <f>TEXT(Attendance_Data[[#This Row],[Date]], "dddd")</f>
        <v>Friday</v>
      </c>
      <c r="G356" s="20">
        <f t="shared" si="5"/>
        <v>0</v>
      </c>
    </row>
    <row r="357" spans="1:7" ht="19.5" x14ac:dyDescent="0.25">
      <c r="A357" s="20" t="s">
        <v>10</v>
      </c>
      <c r="B357" s="20" t="s">
        <v>11</v>
      </c>
      <c r="C357" s="20" t="s">
        <v>6</v>
      </c>
      <c r="D357" s="20" t="s">
        <v>3</v>
      </c>
      <c r="E357" s="20" t="str">
        <f>TEXT(Attendance_Data[[#This Row],[Date]], "mmm")</f>
        <v>May</v>
      </c>
      <c r="F357" s="20" t="str">
        <f>TEXT(Attendance_Data[[#This Row],[Date]], "dddd")</f>
        <v>Friday</v>
      </c>
      <c r="G357" s="20">
        <f t="shared" si="5"/>
        <v>1</v>
      </c>
    </row>
    <row r="358" spans="1:7" ht="19.5" x14ac:dyDescent="0.25">
      <c r="A358" s="20" t="s">
        <v>19</v>
      </c>
      <c r="B358" s="20" t="s">
        <v>27</v>
      </c>
      <c r="C358" s="20" t="s">
        <v>28</v>
      </c>
      <c r="D358" s="20" t="s">
        <v>7</v>
      </c>
      <c r="E358" s="20" t="str">
        <f>TEXT(Attendance_Data[[#This Row],[Date]], "mmm")</f>
        <v>May</v>
      </c>
      <c r="F358" s="20" t="str">
        <f>TEXT(Attendance_Data[[#This Row],[Date]], "dddd")</f>
        <v>Saturday</v>
      </c>
      <c r="G358" s="20">
        <f t="shared" si="5"/>
        <v>1</v>
      </c>
    </row>
    <row r="359" spans="1:7" ht="19.5" x14ac:dyDescent="0.25">
      <c r="A359" s="20" t="s">
        <v>40</v>
      </c>
      <c r="B359" s="20" t="s">
        <v>1</v>
      </c>
      <c r="C359" s="20" t="s">
        <v>2</v>
      </c>
      <c r="D359" s="20" t="s">
        <v>20</v>
      </c>
      <c r="E359" s="20" t="str">
        <f>TEXT(Attendance_Data[[#This Row],[Date]], "mmm")</f>
        <v>May</v>
      </c>
      <c r="F359" s="20" t="str">
        <f>TEXT(Attendance_Data[[#This Row],[Date]], "dddd")</f>
        <v>Friday</v>
      </c>
      <c r="G359" s="20">
        <f t="shared" si="5"/>
        <v>0</v>
      </c>
    </row>
    <row r="360" spans="1:7" ht="19.5" x14ac:dyDescent="0.25">
      <c r="A360" s="20" t="s">
        <v>46</v>
      </c>
      <c r="B360" s="20" t="s">
        <v>27</v>
      </c>
      <c r="C360" s="20" t="s">
        <v>28</v>
      </c>
      <c r="D360" s="20" t="s">
        <v>3</v>
      </c>
      <c r="E360" s="20" t="str">
        <f>TEXT(Attendance_Data[[#This Row],[Date]], "mmm")</f>
        <v>May</v>
      </c>
      <c r="F360" s="20" t="str">
        <f>TEXT(Attendance_Data[[#This Row],[Date]], "dddd")</f>
        <v>Saturday</v>
      </c>
      <c r="G360" s="20">
        <f t="shared" si="5"/>
        <v>1</v>
      </c>
    </row>
    <row r="361" spans="1:7" ht="19.5" x14ac:dyDescent="0.25">
      <c r="A361" s="20" t="s">
        <v>18</v>
      </c>
      <c r="B361" s="20" t="s">
        <v>9</v>
      </c>
      <c r="C361" s="20" t="s">
        <v>2</v>
      </c>
      <c r="D361" s="20" t="s">
        <v>7</v>
      </c>
      <c r="E361" s="20" t="str">
        <f>TEXT(Attendance_Data[[#This Row],[Date]], "mmm")</f>
        <v>May</v>
      </c>
      <c r="F361" s="20" t="str">
        <f>TEXT(Attendance_Data[[#This Row],[Date]], "dddd")</f>
        <v>Tuesday</v>
      </c>
      <c r="G361" s="20">
        <f t="shared" si="5"/>
        <v>1</v>
      </c>
    </row>
    <row r="362" spans="1:7" ht="19.5" x14ac:dyDescent="0.25">
      <c r="A362" s="20" t="s">
        <v>26</v>
      </c>
      <c r="B362" s="20" t="s">
        <v>9</v>
      </c>
      <c r="C362" s="20" t="s">
        <v>2</v>
      </c>
      <c r="D362" s="20" t="s">
        <v>3</v>
      </c>
      <c r="E362" s="20" t="str">
        <f>TEXT(Attendance_Data[[#This Row],[Date]], "mmm")</f>
        <v>May</v>
      </c>
      <c r="F362" s="20" t="str">
        <f>TEXT(Attendance_Data[[#This Row],[Date]], "dddd")</f>
        <v>Sunday</v>
      </c>
      <c r="G362" s="20">
        <f t="shared" si="5"/>
        <v>1</v>
      </c>
    </row>
    <row r="363" spans="1:7" ht="19.5" x14ac:dyDescent="0.25">
      <c r="A363" s="20" t="s">
        <v>8</v>
      </c>
      <c r="B363" s="20" t="s">
        <v>9</v>
      </c>
      <c r="C363" s="20" t="s">
        <v>2</v>
      </c>
      <c r="D363" s="20" t="s">
        <v>37</v>
      </c>
      <c r="E363" s="20" t="str">
        <f>TEXT(Attendance_Data[[#This Row],[Date]], "mmm")</f>
        <v>May</v>
      </c>
      <c r="F363" s="20" t="str">
        <f>TEXT(Attendance_Data[[#This Row],[Date]], "dddd")</f>
        <v>Wednesday</v>
      </c>
      <c r="G363" s="20">
        <f t="shared" si="5"/>
        <v>0</v>
      </c>
    </row>
    <row r="364" spans="1:7" ht="19.5" x14ac:dyDescent="0.25">
      <c r="A364" s="20" t="s">
        <v>10</v>
      </c>
      <c r="B364" s="20" t="s">
        <v>5</v>
      </c>
      <c r="C364" s="20" t="s">
        <v>6</v>
      </c>
      <c r="D364" s="20" t="s">
        <v>7</v>
      </c>
      <c r="E364" s="20" t="str">
        <f>TEXT(Attendance_Data[[#This Row],[Date]], "mmm")</f>
        <v>May</v>
      </c>
      <c r="F364" s="20" t="str">
        <f>TEXT(Attendance_Data[[#This Row],[Date]], "dddd")</f>
        <v>Friday</v>
      </c>
      <c r="G364" s="20">
        <f t="shared" si="5"/>
        <v>1</v>
      </c>
    </row>
    <row r="365" spans="1:7" ht="19.5" x14ac:dyDescent="0.25">
      <c r="A365" s="20" t="s">
        <v>46</v>
      </c>
      <c r="B365" s="20" t="s">
        <v>30</v>
      </c>
      <c r="C365" s="20" t="s">
        <v>24</v>
      </c>
      <c r="D365" s="20" t="s">
        <v>3</v>
      </c>
      <c r="E365" s="20" t="str">
        <f>TEXT(Attendance_Data[[#This Row],[Date]], "mmm")</f>
        <v>May</v>
      </c>
      <c r="F365" s="20" t="str">
        <f>TEXT(Attendance_Data[[#This Row],[Date]], "dddd")</f>
        <v>Saturday</v>
      </c>
      <c r="G365" s="20">
        <f t="shared" si="5"/>
        <v>1</v>
      </c>
    </row>
    <row r="366" spans="1:7" ht="19.5" x14ac:dyDescent="0.25">
      <c r="A366" s="20" t="s">
        <v>44</v>
      </c>
      <c r="B366" s="20" t="s">
        <v>16</v>
      </c>
      <c r="C366" s="20" t="s">
        <v>14</v>
      </c>
      <c r="D366" s="20" t="s">
        <v>3</v>
      </c>
      <c r="E366" s="20" t="str">
        <f>TEXT(Attendance_Data[[#This Row],[Date]], "mmm")</f>
        <v>May</v>
      </c>
      <c r="F366" s="20" t="str">
        <f>TEXT(Attendance_Data[[#This Row],[Date]], "dddd")</f>
        <v>Saturday</v>
      </c>
      <c r="G366" s="20">
        <f t="shared" si="5"/>
        <v>1</v>
      </c>
    </row>
    <row r="367" spans="1:7" ht="19.5" x14ac:dyDescent="0.25">
      <c r="A367" s="20" t="s">
        <v>46</v>
      </c>
      <c r="B367" s="20" t="s">
        <v>9</v>
      </c>
      <c r="C367" s="20" t="s">
        <v>2</v>
      </c>
      <c r="D367" s="20" t="s">
        <v>7</v>
      </c>
      <c r="E367" s="20" t="str">
        <f>TEXT(Attendance_Data[[#This Row],[Date]], "mmm")</f>
        <v>May</v>
      </c>
      <c r="F367" s="20" t="str">
        <f>TEXT(Attendance_Data[[#This Row],[Date]], "dddd")</f>
        <v>Saturday</v>
      </c>
      <c r="G367" s="20">
        <f t="shared" si="5"/>
        <v>1</v>
      </c>
    </row>
    <row r="368" spans="1:7" ht="19.5" x14ac:dyDescent="0.25">
      <c r="A368" s="20" t="s">
        <v>8</v>
      </c>
      <c r="B368" s="20" t="s">
        <v>1</v>
      </c>
      <c r="C368" s="20" t="s">
        <v>2</v>
      </c>
      <c r="D368" s="20" t="s">
        <v>20</v>
      </c>
      <c r="E368" s="20" t="str">
        <f>TEXT(Attendance_Data[[#This Row],[Date]], "mmm")</f>
        <v>May</v>
      </c>
      <c r="F368" s="20" t="str">
        <f>TEXT(Attendance_Data[[#This Row],[Date]], "dddd")</f>
        <v>Wednesday</v>
      </c>
      <c r="G368" s="20">
        <f t="shared" si="5"/>
        <v>0</v>
      </c>
    </row>
    <row r="369" spans="1:7" ht="19.5" x14ac:dyDescent="0.25">
      <c r="A369" s="20" t="s">
        <v>29</v>
      </c>
      <c r="B369" s="20" t="s">
        <v>9</v>
      </c>
      <c r="C369" s="20" t="s">
        <v>2</v>
      </c>
      <c r="D369" s="20" t="s">
        <v>7</v>
      </c>
      <c r="E369" s="20" t="str">
        <f>TEXT(Attendance_Data[[#This Row],[Date]], "mmm")</f>
        <v>May</v>
      </c>
      <c r="F369" s="20" t="str">
        <f>TEXT(Attendance_Data[[#This Row],[Date]], "dddd")</f>
        <v>Monday</v>
      </c>
      <c r="G369" s="20">
        <f t="shared" si="5"/>
        <v>1</v>
      </c>
    </row>
    <row r="370" spans="1:7" ht="19.5" x14ac:dyDescent="0.25">
      <c r="A370" s="20" t="s">
        <v>46</v>
      </c>
      <c r="B370" s="20" t="s">
        <v>9</v>
      </c>
      <c r="C370" s="20" t="s">
        <v>2</v>
      </c>
      <c r="D370" s="20" t="s">
        <v>3</v>
      </c>
      <c r="E370" s="20" t="str">
        <f>TEXT(Attendance_Data[[#This Row],[Date]], "mmm")</f>
        <v>May</v>
      </c>
      <c r="F370" s="20" t="str">
        <f>TEXT(Attendance_Data[[#This Row],[Date]], "dddd")</f>
        <v>Saturday</v>
      </c>
      <c r="G370" s="20">
        <f t="shared" si="5"/>
        <v>1</v>
      </c>
    </row>
    <row r="371" spans="1:7" ht="19.5" x14ac:dyDescent="0.25">
      <c r="A371" s="20" t="s">
        <v>36</v>
      </c>
      <c r="B371" s="20" t="s">
        <v>43</v>
      </c>
      <c r="C371" s="20" t="s">
        <v>28</v>
      </c>
      <c r="D371" s="20" t="s">
        <v>7</v>
      </c>
      <c r="E371" s="20" t="str">
        <f>TEXT(Attendance_Data[[#This Row],[Date]], "mmm")</f>
        <v>May</v>
      </c>
      <c r="F371" s="20" t="str">
        <f>TEXT(Attendance_Data[[#This Row],[Date]], "dddd")</f>
        <v>Saturday</v>
      </c>
      <c r="G371" s="20">
        <f t="shared" si="5"/>
        <v>1</v>
      </c>
    </row>
    <row r="372" spans="1:7" ht="19.5" x14ac:dyDescent="0.25">
      <c r="A372" s="20" t="s">
        <v>8</v>
      </c>
      <c r="B372" s="20" t="s">
        <v>13</v>
      </c>
      <c r="C372" s="20" t="s">
        <v>14</v>
      </c>
      <c r="D372" s="20" t="s">
        <v>7</v>
      </c>
      <c r="E372" s="20" t="str">
        <f>TEXT(Attendance_Data[[#This Row],[Date]], "mmm")</f>
        <v>May</v>
      </c>
      <c r="F372" s="20" t="str">
        <f>TEXT(Attendance_Data[[#This Row],[Date]], "dddd")</f>
        <v>Wednesday</v>
      </c>
      <c r="G372" s="20">
        <f t="shared" si="5"/>
        <v>1</v>
      </c>
    </row>
    <row r="373" spans="1:7" ht="19.5" x14ac:dyDescent="0.25">
      <c r="A373" s="20" t="s">
        <v>42</v>
      </c>
      <c r="B373" s="20" t="s">
        <v>16</v>
      </c>
      <c r="C373" s="20" t="s">
        <v>14</v>
      </c>
      <c r="D373" s="20" t="s">
        <v>7</v>
      </c>
      <c r="E373" s="20" t="str">
        <f>TEXT(Attendance_Data[[#This Row],[Date]], "mmm")</f>
        <v>May</v>
      </c>
      <c r="F373" s="20" t="str">
        <f>TEXT(Attendance_Data[[#This Row],[Date]], "dddd")</f>
        <v>Tuesday</v>
      </c>
      <c r="G373" s="20">
        <f t="shared" si="5"/>
        <v>1</v>
      </c>
    </row>
    <row r="374" spans="1:7" ht="19.5" x14ac:dyDescent="0.25">
      <c r="A374" s="20" t="s">
        <v>17</v>
      </c>
      <c r="B374" s="20" t="s">
        <v>43</v>
      </c>
      <c r="C374" s="20" t="s">
        <v>28</v>
      </c>
      <c r="D374" s="20" t="s">
        <v>3</v>
      </c>
      <c r="E374" s="20" t="str">
        <f>TEXT(Attendance_Data[[#This Row],[Date]], "mmm")</f>
        <v>May</v>
      </c>
      <c r="F374" s="20" t="str">
        <f>TEXT(Attendance_Data[[#This Row],[Date]], "dddd")</f>
        <v>Friday</v>
      </c>
      <c r="G374" s="20">
        <f t="shared" si="5"/>
        <v>1</v>
      </c>
    </row>
    <row r="375" spans="1:7" ht="19.5" x14ac:dyDescent="0.25">
      <c r="A375" s="20" t="s">
        <v>21</v>
      </c>
      <c r="B375" s="20" t="s">
        <v>5</v>
      </c>
      <c r="C375" s="20" t="s">
        <v>6</v>
      </c>
      <c r="D375" s="20" t="s">
        <v>7</v>
      </c>
      <c r="E375" s="20" t="str">
        <f>TEXT(Attendance_Data[[#This Row],[Date]], "mmm")</f>
        <v>May</v>
      </c>
      <c r="F375" s="20" t="str">
        <f>TEXT(Attendance_Data[[#This Row],[Date]], "dddd")</f>
        <v>Friday</v>
      </c>
      <c r="G375" s="20">
        <f t="shared" si="5"/>
        <v>1</v>
      </c>
    </row>
    <row r="376" spans="1:7" ht="19.5" x14ac:dyDescent="0.25">
      <c r="A376" s="20" t="s">
        <v>0</v>
      </c>
      <c r="B376" s="20" t="s">
        <v>11</v>
      </c>
      <c r="C376" s="20" t="s">
        <v>6</v>
      </c>
      <c r="D376" s="20" t="s">
        <v>7</v>
      </c>
      <c r="E376" s="20" t="str">
        <f>TEXT(Attendance_Data[[#This Row],[Date]], "mmm")</f>
        <v>May</v>
      </c>
      <c r="F376" s="20" t="str">
        <f>TEXT(Attendance_Data[[#This Row],[Date]], "dddd")</f>
        <v>Wednesday</v>
      </c>
      <c r="G376" s="20">
        <f t="shared" si="5"/>
        <v>1</v>
      </c>
    </row>
    <row r="377" spans="1:7" ht="19.5" x14ac:dyDescent="0.25">
      <c r="A377" s="20" t="s">
        <v>33</v>
      </c>
      <c r="B377" s="20" t="s">
        <v>1</v>
      </c>
      <c r="C377" s="20" t="s">
        <v>2</v>
      </c>
      <c r="D377" s="20" t="s">
        <v>3</v>
      </c>
      <c r="E377" s="20" t="str">
        <f>TEXT(Attendance_Data[[#This Row],[Date]], "mmm")</f>
        <v>May</v>
      </c>
      <c r="F377" s="20" t="str">
        <f>TEXT(Attendance_Data[[#This Row],[Date]], "dddd")</f>
        <v>Wednesday</v>
      </c>
      <c r="G377" s="20">
        <f t="shared" si="5"/>
        <v>1</v>
      </c>
    </row>
    <row r="378" spans="1:7" ht="19.5" x14ac:dyDescent="0.25">
      <c r="A378" s="20" t="s">
        <v>40</v>
      </c>
      <c r="B378" s="20" t="s">
        <v>9</v>
      </c>
      <c r="C378" s="20" t="s">
        <v>2</v>
      </c>
      <c r="D378" s="20" t="s">
        <v>20</v>
      </c>
      <c r="E378" s="20" t="str">
        <f>TEXT(Attendance_Data[[#This Row],[Date]], "mmm")</f>
        <v>May</v>
      </c>
      <c r="F378" s="20" t="str">
        <f>TEXT(Attendance_Data[[#This Row],[Date]], "dddd")</f>
        <v>Friday</v>
      </c>
      <c r="G378" s="20">
        <f t="shared" si="5"/>
        <v>0</v>
      </c>
    </row>
    <row r="379" spans="1:7" ht="19.5" x14ac:dyDescent="0.25">
      <c r="A379" s="20" t="s">
        <v>0</v>
      </c>
      <c r="B379" s="20" t="s">
        <v>43</v>
      </c>
      <c r="C379" s="20" t="s">
        <v>28</v>
      </c>
      <c r="D379" s="20" t="s">
        <v>7</v>
      </c>
      <c r="E379" s="20" t="str">
        <f>TEXT(Attendance_Data[[#This Row],[Date]], "mmm")</f>
        <v>May</v>
      </c>
      <c r="F379" s="20" t="str">
        <f>TEXT(Attendance_Data[[#This Row],[Date]], "dddd")</f>
        <v>Wednesday</v>
      </c>
      <c r="G379" s="20">
        <f t="shared" si="5"/>
        <v>1</v>
      </c>
    </row>
    <row r="380" spans="1:7" ht="19.5" x14ac:dyDescent="0.25">
      <c r="A380" s="20" t="s">
        <v>36</v>
      </c>
      <c r="B380" s="20" t="s">
        <v>30</v>
      </c>
      <c r="C380" s="20" t="s">
        <v>24</v>
      </c>
      <c r="D380" s="20" t="s">
        <v>7</v>
      </c>
      <c r="E380" s="20" t="str">
        <f>TEXT(Attendance_Data[[#This Row],[Date]], "mmm")</f>
        <v>May</v>
      </c>
      <c r="F380" s="20" t="str">
        <f>TEXT(Attendance_Data[[#This Row],[Date]], "dddd")</f>
        <v>Saturday</v>
      </c>
      <c r="G380" s="20">
        <f t="shared" si="5"/>
        <v>1</v>
      </c>
    </row>
    <row r="381" spans="1:7" ht="19.5" x14ac:dyDescent="0.25">
      <c r="A381" s="20" t="s">
        <v>22</v>
      </c>
      <c r="B381" s="20" t="s">
        <v>5</v>
      </c>
      <c r="C381" s="20" t="s">
        <v>6</v>
      </c>
      <c r="D381" s="20" t="s">
        <v>3</v>
      </c>
      <c r="E381" s="20" t="str">
        <f>TEXT(Attendance_Data[[#This Row],[Date]], "mmm")</f>
        <v>May</v>
      </c>
      <c r="F381" s="20" t="str">
        <f>TEXT(Attendance_Data[[#This Row],[Date]], "dddd")</f>
        <v>Friday</v>
      </c>
      <c r="G381" s="20">
        <f t="shared" si="5"/>
        <v>1</v>
      </c>
    </row>
    <row r="382" spans="1:7" ht="19.5" x14ac:dyDescent="0.25">
      <c r="A382" s="20" t="s">
        <v>42</v>
      </c>
      <c r="B382" s="20" t="s">
        <v>16</v>
      </c>
      <c r="C382" s="20" t="s">
        <v>14</v>
      </c>
      <c r="D382" s="20" t="s">
        <v>7</v>
      </c>
      <c r="E382" s="20" t="str">
        <f>TEXT(Attendance_Data[[#This Row],[Date]], "mmm")</f>
        <v>May</v>
      </c>
      <c r="F382" s="20" t="str">
        <f>TEXT(Attendance_Data[[#This Row],[Date]], "dddd")</f>
        <v>Tuesday</v>
      </c>
      <c r="G382" s="20">
        <f t="shared" si="5"/>
        <v>1</v>
      </c>
    </row>
    <row r="383" spans="1:7" ht="19.5" x14ac:dyDescent="0.25">
      <c r="A383" s="20" t="s">
        <v>35</v>
      </c>
      <c r="B383" s="20" t="s">
        <v>43</v>
      </c>
      <c r="C383" s="20" t="s">
        <v>28</v>
      </c>
      <c r="D383" s="20" t="s">
        <v>7</v>
      </c>
      <c r="E383" s="20" t="str">
        <f>TEXT(Attendance_Data[[#This Row],[Date]], "mmm")</f>
        <v>May</v>
      </c>
      <c r="F383" s="20" t="str">
        <f>TEXT(Attendance_Data[[#This Row],[Date]], "dddd")</f>
        <v>Wednesday</v>
      </c>
      <c r="G383" s="20">
        <f t="shared" si="5"/>
        <v>1</v>
      </c>
    </row>
    <row r="384" spans="1:7" ht="19.5" x14ac:dyDescent="0.25">
      <c r="A384" s="20" t="s">
        <v>12</v>
      </c>
      <c r="B384" s="20" t="s">
        <v>23</v>
      </c>
      <c r="C384" s="20" t="s">
        <v>24</v>
      </c>
      <c r="D384" s="20" t="s">
        <v>7</v>
      </c>
      <c r="E384" s="20" t="str">
        <f>TEXT(Attendance_Data[[#This Row],[Date]], "mmm")</f>
        <v>May</v>
      </c>
      <c r="F384" s="20" t="str">
        <f>TEXT(Attendance_Data[[#This Row],[Date]], "dddd")</f>
        <v>Monday</v>
      </c>
      <c r="G384" s="20">
        <f t="shared" si="5"/>
        <v>1</v>
      </c>
    </row>
    <row r="385" spans="1:7" ht="19.5" x14ac:dyDescent="0.25">
      <c r="A385" s="20" t="s">
        <v>18</v>
      </c>
      <c r="B385" s="20" t="s">
        <v>1</v>
      </c>
      <c r="C385" s="20" t="s">
        <v>2</v>
      </c>
      <c r="D385" s="20" t="s">
        <v>7</v>
      </c>
      <c r="E385" s="20" t="str">
        <f>TEXT(Attendance_Data[[#This Row],[Date]], "mmm")</f>
        <v>May</v>
      </c>
      <c r="F385" s="20" t="str">
        <f>TEXT(Attendance_Data[[#This Row],[Date]], "dddd")</f>
        <v>Tuesday</v>
      </c>
      <c r="G385" s="20">
        <f t="shared" si="5"/>
        <v>1</v>
      </c>
    </row>
    <row r="386" spans="1:7" ht="19.5" x14ac:dyDescent="0.25">
      <c r="A386" s="20" t="s">
        <v>17</v>
      </c>
      <c r="B386" s="20" t="s">
        <v>11</v>
      </c>
      <c r="C386" s="20" t="s">
        <v>6</v>
      </c>
      <c r="D386" s="20" t="s">
        <v>7</v>
      </c>
      <c r="E386" s="20" t="str">
        <f>TEXT(Attendance_Data[[#This Row],[Date]], "mmm")</f>
        <v>May</v>
      </c>
      <c r="F386" s="20" t="str">
        <f>TEXT(Attendance_Data[[#This Row],[Date]], "dddd")</f>
        <v>Friday</v>
      </c>
      <c r="G386" s="20">
        <f t="shared" ref="G386:G449" si="6">IF(OR(D386="Present", D386="Late"),1,0)</f>
        <v>1</v>
      </c>
    </row>
    <row r="387" spans="1:7" ht="19.5" x14ac:dyDescent="0.25">
      <c r="A387" s="20" t="s">
        <v>47</v>
      </c>
      <c r="B387" s="20" t="s">
        <v>16</v>
      </c>
      <c r="C387" s="20" t="s">
        <v>14</v>
      </c>
      <c r="D387" s="20" t="s">
        <v>7</v>
      </c>
      <c r="E387" s="20" t="str">
        <f>TEXT(Attendance_Data[[#This Row],[Date]], "mmm")</f>
        <v>May</v>
      </c>
      <c r="F387" s="20" t="str">
        <f>TEXT(Attendance_Data[[#This Row],[Date]], "dddd")</f>
        <v>Thursday</v>
      </c>
      <c r="G387" s="20">
        <f t="shared" si="6"/>
        <v>1</v>
      </c>
    </row>
    <row r="388" spans="1:7" ht="19.5" x14ac:dyDescent="0.25">
      <c r="A388" s="20" t="s">
        <v>32</v>
      </c>
      <c r="B388" s="20" t="s">
        <v>27</v>
      </c>
      <c r="C388" s="20" t="s">
        <v>28</v>
      </c>
      <c r="D388" s="20" t="s">
        <v>3</v>
      </c>
      <c r="E388" s="20" t="str">
        <f>TEXT(Attendance_Data[[#This Row],[Date]], "mmm")</f>
        <v>May</v>
      </c>
      <c r="F388" s="20" t="str">
        <f>TEXT(Attendance_Data[[#This Row],[Date]], "dddd")</f>
        <v>Tuesday</v>
      </c>
      <c r="G388" s="20">
        <f t="shared" si="6"/>
        <v>1</v>
      </c>
    </row>
    <row r="389" spans="1:7" ht="19.5" x14ac:dyDescent="0.25">
      <c r="A389" s="20" t="s">
        <v>21</v>
      </c>
      <c r="B389" s="20" t="s">
        <v>30</v>
      </c>
      <c r="C389" s="20" t="s">
        <v>24</v>
      </c>
      <c r="D389" s="20" t="s">
        <v>7</v>
      </c>
      <c r="E389" s="20" t="str">
        <f>TEXT(Attendance_Data[[#This Row],[Date]], "mmm")</f>
        <v>May</v>
      </c>
      <c r="F389" s="20" t="str">
        <f>TEXT(Attendance_Data[[#This Row],[Date]], "dddd")</f>
        <v>Friday</v>
      </c>
      <c r="G389" s="20">
        <f t="shared" si="6"/>
        <v>1</v>
      </c>
    </row>
    <row r="390" spans="1:7" ht="19.5" x14ac:dyDescent="0.25">
      <c r="A390" s="20" t="s">
        <v>44</v>
      </c>
      <c r="B390" s="20" t="s">
        <v>30</v>
      </c>
      <c r="C390" s="20" t="s">
        <v>24</v>
      </c>
      <c r="D390" s="20" t="s">
        <v>3</v>
      </c>
      <c r="E390" s="20" t="str">
        <f>TEXT(Attendance_Data[[#This Row],[Date]], "mmm")</f>
        <v>May</v>
      </c>
      <c r="F390" s="20" t="str">
        <f>TEXT(Attendance_Data[[#This Row],[Date]], "dddd")</f>
        <v>Saturday</v>
      </c>
      <c r="G390" s="20">
        <f t="shared" si="6"/>
        <v>1</v>
      </c>
    </row>
    <row r="391" spans="1:7" ht="19.5" x14ac:dyDescent="0.25">
      <c r="A391" s="20" t="s">
        <v>39</v>
      </c>
      <c r="B391" s="20" t="s">
        <v>1</v>
      </c>
      <c r="C391" s="20" t="s">
        <v>2</v>
      </c>
      <c r="D391" s="20" t="s">
        <v>7</v>
      </c>
      <c r="E391" s="20" t="str">
        <f>TEXT(Attendance_Data[[#This Row],[Date]], "mmm")</f>
        <v>May</v>
      </c>
      <c r="F391" s="20" t="str">
        <f>TEXT(Attendance_Data[[#This Row],[Date]], "dddd")</f>
        <v>Thursday</v>
      </c>
      <c r="G391" s="20">
        <f t="shared" si="6"/>
        <v>1</v>
      </c>
    </row>
    <row r="392" spans="1:7" ht="19.5" x14ac:dyDescent="0.25">
      <c r="A392" s="20" t="s">
        <v>33</v>
      </c>
      <c r="B392" s="20" t="s">
        <v>5</v>
      </c>
      <c r="C392" s="20" t="s">
        <v>6</v>
      </c>
      <c r="D392" s="20" t="s">
        <v>7</v>
      </c>
      <c r="E392" s="20" t="str">
        <f>TEXT(Attendance_Data[[#This Row],[Date]], "mmm")</f>
        <v>May</v>
      </c>
      <c r="F392" s="20" t="str">
        <f>TEXT(Attendance_Data[[#This Row],[Date]], "dddd")</f>
        <v>Wednesday</v>
      </c>
      <c r="G392" s="20">
        <f t="shared" si="6"/>
        <v>1</v>
      </c>
    </row>
    <row r="393" spans="1:7" ht="19.5" x14ac:dyDescent="0.25">
      <c r="A393" s="20" t="s">
        <v>32</v>
      </c>
      <c r="B393" s="20" t="s">
        <v>13</v>
      </c>
      <c r="C393" s="20" t="s">
        <v>14</v>
      </c>
      <c r="D393" s="20" t="s">
        <v>7</v>
      </c>
      <c r="E393" s="20" t="str">
        <f>TEXT(Attendance_Data[[#This Row],[Date]], "mmm")</f>
        <v>May</v>
      </c>
      <c r="F393" s="20" t="str">
        <f>TEXT(Attendance_Data[[#This Row],[Date]], "dddd")</f>
        <v>Tuesday</v>
      </c>
      <c r="G393" s="20">
        <f t="shared" si="6"/>
        <v>1</v>
      </c>
    </row>
    <row r="394" spans="1:7" ht="19.5" x14ac:dyDescent="0.25">
      <c r="A394" s="20" t="s">
        <v>47</v>
      </c>
      <c r="B394" s="20" t="s">
        <v>5</v>
      </c>
      <c r="C394" s="20" t="s">
        <v>6</v>
      </c>
      <c r="D394" s="20" t="s">
        <v>7</v>
      </c>
      <c r="E394" s="20" t="str">
        <f>TEXT(Attendance_Data[[#This Row],[Date]], "mmm")</f>
        <v>May</v>
      </c>
      <c r="F394" s="20" t="str">
        <f>TEXT(Attendance_Data[[#This Row],[Date]], "dddd")</f>
        <v>Thursday</v>
      </c>
      <c r="G394" s="20">
        <f t="shared" si="6"/>
        <v>1</v>
      </c>
    </row>
    <row r="395" spans="1:7" ht="19.5" x14ac:dyDescent="0.25">
      <c r="A395" s="20" t="s">
        <v>31</v>
      </c>
      <c r="B395" s="20" t="s">
        <v>27</v>
      </c>
      <c r="C395" s="20" t="s">
        <v>28</v>
      </c>
      <c r="D395" s="20" t="s">
        <v>7</v>
      </c>
      <c r="E395" s="20" t="str">
        <f>TEXT(Attendance_Data[[#This Row],[Date]], "mmm")</f>
        <v>May</v>
      </c>
      <c r="F395" s="20" t="str">
        <f>TEXT(Attendance_Data[[#This Row],[Date]], "dddd")</f>
        <v>Tuesday</v>
      </c>
      <c r="G395" s="20">
        <f t="shared" si="6"/>
        <v>1</v>
      </c>
    </row>
    <row r="396" spans="1:7" ht="19.5" x14ac:dyDescent="0.25">
      <c r="A396" s="20" t="s">
        <v>8</v>
      </c>
      <c r="B396" s="20" t="s">
        <v>9</v>
      </c>
      <c r="C396" s="20" t="s">
        <v>2</v>
      </c>
      <c r="D396" s="20" t="s">
        <v>7</v>
      </c>
      <c r="E396" s="20" t="str">
        <f>TEXT(Attendance_Data[[#This Row],[Date]], "mmm")</f>
        <v>May</v>
      </c>
      <c r="F396" s="20" t="str">
        <f>TEXT(Attendance_Data[[#This Row],[Date]], "dddd")</f>
        <v>Wednesday</v>
      </c>
      <c r="G396" s="20">
        <f t="shared" si="6"/>
        <v>1</v>
      </c>
    </row>
    <row r="397" spans="1:7" ht="19.5" x14ac:dyDescent="0.25">
      <c r="A397" s="20" t="s">
        <v>45</v>
      </c>
      <c r="B397" s="20" t="s">
        <v>23</v>
      </c>
      <c r="C397" s="20" t="s">
        <v>24</v>
      </c>
      <c r="D397" s="20" t="s">
        <v>7</v>
      </c>
      <c r="E397" s="20" t="str">
        <f>TEXT(Attendance_Data[[#This Row],[Date]], "mmm")</f>
        <v>May</v>
      </c>
      <c r="F397" s="20" t="str">
        <f>TEXT(Attendance_Data[[#This Row],[Date]], "dddd")</f>
        <v>Monday</v>
      </c>
      <c r="G397" s="20">
        <f t="shared" si="6"/>
        <v>1</v>
      </c>
    </row>
    <row r="398" spans="1:7" ht="19.5" x14ac:dyDescent="0.25">
      <c r="A398" s="20" t="s">
        <v>48</v>
      </c>
      <c r="B398" s="20" t="s">
        <v>5</v>
      </c>
      <c r="C398" s="20" t="s">
        <v>6</v>
      </c>
      <c r="D398" s="20" t="s">
        <v>7</v>
      </c>
      <c r="E398" s="20" t="str">
        <f>TEXT(Attendance_Data[[#This Row],[Date]], "mmm")</f>
        <v>May</v>
      </c>
      <c r="F398" s="20" t="str">
        <f>TEXT(Attendance_Data[[#This Row],[Date]], "dddd")</f>
        <v>Sunday</v>
      </c>
      <c r="G398" s="20">
        <f t="shared" si="6"/>
        <v>1</v>
      </c>
    </row>
    <row r="399" spans="1:7" ht="19.5" x14ac:dyDescent="0.25">
      <c r="A399" s="20" t="s">
        <v>49</v>
      </c>
      <c r="B399" s="20" t="s">
        <v>23</v>
      </c>
      <c r="C399" s="20" t="s">
        <v>24</v>
      </c>
      <c r="D399" s="20" t="s">
        <v>7</v>
      </c>
      <c r="E399" s="20" t="str">
        <f>TEXT(Attendance_Data[[#This Row],[Date]], "mmm")</f>
        <v>May</v>
      </c>
      <c r="F399" s="20" t="str">
        <f>TEXT(Attendance_Data[[#This Row],[Date]], "dddd")</f>
        <v>Thursday</v>
      </c>
      <c r="G399" s="20">
        <f t="shared" si="6"/>
        <v>1</v>
      </c>
    </row>
    <row r="400" spans="1:7" ht="19.5" x14ac:dyDescent="0.25">
      <c r="A400" s="20" t="s">
        <v>21</v>
      </c>
      <c r="B400" s="20" t="s">
        <v>30</v>
      </c>
      <c r="C400" s="20" t="s">
        <v>24</v>
      </c>
      <c r="D400" s="20" t="s">
        <v>7</v>
      </c>
      <c r="E400" s="20" t="str">
        <f>TEXT(Attendance_Data[[#This Row],[Date]], "mmm")</f>
        <v>May</v>
      </c>
      <c r="F400" s="20" t="str">
        <f>TEXT(Attendance_Data[[#This Row],[Date]], "dddd")</f>
        <v>Friday</v>
      </c>
      <c r="G400" s="20">
        <f t="shared" si="6"/>
        <v>1</v>
      </c>
    </row>
    <row r="401" spans="1:7" ht="19.5" x14ac:dyDescent="0.25">
      <c r="A401" s="20" t="s">
        <v>26</v>
      </c>
      <c r="B401" s="20" t="s">
        <v>13</v>
      </c>
      <c r="C401" s="20" t="s">
        <v>14</v>
      </c>
      <c r="D401" s="20" t="s">
        <v>7</v>
      </c>
      <c r="E401" s="20" t="str">
        <f>TEXT(Attendance_Data[[#This Row],[Date]], "mmm")</f>
        <v>May</v>
      </c>
      <c r="F401" s="20" t="str">
        <f>TEXT(Attendance_Data[[#This Row],[Date]], "dddd")</f>
        <v>Sunday</v>
      </c>
      <c r="G401" s="20">
        <f t="shared" si="6"/>
        <v>1</v>
      </c>
    </row>
    <row r="402" spans="1:7" ht="19.5" x14ac:dyDescent="0.25">
      <c r="A402" s="20" t="s">
        <v>12</v>
      </c>
      <c r="B402" s="20" t="s">
        <v>13</v>
      </c>
      <c r="C402" s="20" t="s">
        <v>14</v>
      </c>
      <c r="D402" s="20" t="s">
        <v>7</v>
      </c>
      <c r="E402" s="20" t="str">
        <f>TEXT(Attendance_Data[[#This Row],[Date]], "mmm")</f>
        <v>May</v>
      </c>
      <c r="F402" s="20" t="str">
        <f>TEXT(Attendance_Data[[#This Row],[Date]], "dddd")</f>
        <v>Monday</v>
      </c>
      <c r="G402" s="20">
        <f t="shared" si="6"/>
        <v>1</v>
      </c>
    </row>
    <row r="403" spans="1:7" ht="19.5" x14ac:dyDescent="0.25">
      <c r="A403" s="20" t="s">
        <v>8</v>
      </c>
      <c r="B403" s="20" t="s">
        <v>30</v>
      </c>
      <c r="C403" s="20" t="s">
        <v>24</v>
      </c>
      <c r="D403" s="20" t="s">
        <v>7</v>
      </c>
      <c r="E403" s="20" t="str">
        <f>TEXT(Attendance_Data[[#This Row],[Date]], "mmm")</f>
        <v>May</v>
      </c>
      <c r="F403" s="20" t="str">
        <f>TEXT(Attendance_Data[[#This Row],[Date]], "dddd")</f>
        <v>Wednesday</v>
      </c>
      <c r="G403" s="20">
        <f t="shared" si="6"/>
        <v>1</v>
      </c>
    </row>
    <row r="404" spans="1:7" ht="19.5" x14ac:dyDescent="0.25">
      <c r="A404" s="20" t="s">
        <v>34</v>
      </c>
      <c r="B404" s="20" t="s">
        <v>9</v>
      </c>
      <c r="C404" s="20" t="s">
        <v>2</v>
      </c>
      <c r="D404" s="20" t="s">
        <v>7</v>
      </c>
      <c r="E404" s="20" t="str">
        <f>TEXT(Attendance_Data[[#This Row],[Date]], "mmm")</f>
        <v>May</v>
      </c>
      <c r="F404" s="20" t="str">
        <f>TEXT(Attendance_Data[[#This Row],[Date]], "dddd")</f>
        <v>Saturday</v>
      </c>
      <c r="G404" s="20">
        <f t="shared" si="6"/>
        <v>1</v>
      </c>
    </row>
    <row r="405" spans="1:7" ht="19.5" x14ac:dyDescent="0.25">
      <c r="A405" s="20" t="s">
        <v>39</v>
      </c>
      <c r="B405" s="20" t="s">
        <v>16</v>
      </c>
      <c r="C405" s="20" t="s">
        <v>14</v>
      </c>
      <c r="D405" s="20" t="s">
        <v>7</v>
      </c>
      <c r="E405" s="20" t="str">
        <f>TEXT(Attendance_Data[[#This Row],[Date]], "mmm")</f>
        <v>May</v>
      </c>
      <c r="F405" s="20" t="str">
        <f>TEXT(Attendance_Data[[#This Row],[Date]], "dddd")</f>
        <v>Thursday</v>
      </c>
      <c r="G405" s="20">
        <f t="shared" si="6"/>
        <v>1</v>
      </c>
    </row>
    <row r="406" spans="1:7" ht="19.5" x14ac:dyDescent="0.25">
      <c r="A406" s="20" t="s">
        <v>12</v>
      </c>
      <c r="B406" s="20" t="s">
        <v>5</v>
      </c>
      <c r="C406" s="20" t="s">
        <v>6</v>
      </c>
      <c r="D406" s="20" t="s">
        <v>7</v>
      </c>
      <c r="E406" s="20" t="str">
        <f>TEXT(Attendance_Data[[#This Row],[Date]], "mmm")</f>
        <v>May</v>
      </c>
      <c r="F406" s="20" t="str">
        <f>TEXT(Attendance_Data[[#This Row],[Date]], "dddd")</f>
        <v>Monday</v>
      </c>
      <c r="G406" s="20">
        <f t="shared" si="6"/>
        <v>1</v>
      </c>
    </row>
    <row r="407" spans="1:7" ht="19.5" x14ac:dyDescent="0.25">
      <c r="A407" s="20" t="s">
        <v>18</v>
      </c>
      <c r="B407" s="20" t="s">
        <v>11</v>
      </c>
      <c r="C407" s="20" t="s">
        <v>6</v>
      </c>
      <c r="D407" s="20" t="s">
        <v>7</v>
      </c>
      <c r="E407" s="20" t="str">
        <f>TEXT(Attendance_Data[[#This Row],[Date]], "mmm")</f>
        <v>May</v>
      </c>
      <c r="F407" s="20" t="str">
        <f>TEXT(Attendance_Data[[#This Row],[Date]], "dddd")</f>
        <v>Tuesday</v>
      </c>
      <c r="G407" s="20">
        <f t="shared" si="6"/>
        <v>1</v>
      </c>
    </row>
    <row r="408" spans="1:7" ht="19.5" x14ac:dyDescent="0.25">
      <c r="A408" s="20" t="s">
        <v>45</v>
      </c>
      <c r="B408" s="20" t="s">
        <v>16</v>
      </c>
      <c r="C408" s="20" t="s">
        <v>14</v>
      </c>
      <c r="D408" s="20" t="s">
        <v>7</v>
      </c>
      <c r="E408" s="20" t="str">
        <f>TEXT(Attendance_Data[[#This Row],[Date]], "mmm")</f>
        <v>May</v>
      </c>
      <c r="F408" s="20" t="str">
        <f>TEXT(Attendance_Data[[#This Row],[Date]], "dddd")</f>
        <v>Monday</v>
      </c>
      <c r="G408" s="20">
        <f t="shared" si="6"/>
        <v>1</v>
      </c>
    </row>
    <row r="409" spans="1:7" ht="19.5" x14ac:dyDescent="0.25">
      <c r="A409" s="20" t="s">
        <v>39</v>
      </c>
      <c r="B409" s="20" t="s">
        <v>11</v>
      </c>
      <c r="C409" s="20" t="s">
        <v>6</v>
      </c>
      <c r="D409" s="20" t="s">
        <v>7</v>
      </c>
      <c r="E409" s="20" t="str">
        <f>TEXT(Attendance_Data[[#This Row],[Date]], "mmm")</f>
        <v>May</v>
      </c>
      <c r="F409" s="20" t="str">
        <f>TEXT(Attendance_Data[[#This Row],[Date]], "dddd")</f>
        <v>Thursday</v>
      </c>
      <c r="G409" s="20">
        <f t="shared" si="6"/>
        <v>1</v>
      </c>
    </row>
    <row r="410" spans="1:7" ht="19.5" x14ac:dyDescent="0.25">
      <c r="A410" s="20" t="s">
        <v>44</v>
      </c>
      <c r="B410" s="20" t="s">
        <v>1</v>
      </c>
      <c r="C410" s="20" t="s">
        <v>2</v>
      </c>
      <c r="D410" s="20" t="s">
        <v>7</v>
      </c>
      <c r="E410" s="20" t="str">
        <f>TEXT(Attendance_Data[[#This Row],[Date]], "mmm")</f>
        <v>May</v>
      </c>
      <c r="F410" s="20" t="str">
        <f>TEXT(Attendance_Data[[#This Row],[Date]], "dddd")</f>
        <v>Saturday</v>
      </c>
      <c r="G410" s="20">
        <f t="shared" si="6"/>
        <v>1</v>
      </c>
    </row>
    <row r="411" spans="1:7" ht="19.5" x14ac:dyDescent="0.25">
      <c r="A411" s="20" t="s">
        <v>45</v>
      </c>
      <c r="B411" s="20" t="s">
        <v>16</v>
      </c>
      <c r="C411" s="20" t="s">
        <v>14</v>
      </c>
      <c r="D411" s="20" t="s">
        <v>7</v>
      </c>
      <c r="E411" s="20" t="str">
        <f>TEXT(Attendance_Data[[#This Row],[Date]], "mmm")</f>
        <v>May</v>
      </c>
      <c r="F411" s="20" t="str">
        <f>TEXT(Attendance_Data[[#This Row],[Date]], "dddd")</f>
        <v>Monday</v>
      </c>
      <c r="G411" s="20">
        <f t="shared" si="6"/>
        <v>1</v>
      </c>
    </row>
    <row r="412" spans="1:7" ht="19.5" x14ac:dyDescent="0.25">
      <c r="A412" s="20" t="s">
        <v>40</v>
      </c>
      <c r="B412" s="20" t="s">
        <v>11</v>
      </c>
      <c r="C412" s="20" t="s">
        <v>6</v>
      </c>
      <c r="D412" s="20" t="s">
        <v>7</v>
      </c>
      <c r="E412" s="20" t="str">
        <f>TEXT(Attendance_Data[[#This Row],[Date]], "mmm")</f>
        <v>May</v>
      </c>
      <c r="F412" s="20" t="str">
        <f>TEXT(Attendance_Data[[#This Row],[Date]], "dddd")</f>
        <v>Friday</v>
      </c>
      <c r="G412" s="20">
        <f t="shared" si="6"/>
        <v>1</v>
      </c>
    </row>
    <row r="413" spans="1:7" ht="19.5" x14ac:dyDescent="0.25">
      <c r="A413" s="20" t="s">
        <v>8</v>
      </c>
      <c r="B413" s="20" t="s">
        <v>9</v>
      </c>
      <c r="C413" s="20" t="s">
        <v>2</v>
      </c>
      <c r="D413" s="20" t="s">
        <v>3</v>
      </c>
      <c r="E413" s="20" t="str">
        <f>TEXT(Attendance_Data[[#This Row],[Date]], "mmm")</f>
        <v>May</v>
      </c>
      <c r="F413" s="20" t="str">
        <f>TEXT(Attendance_Data[[#This Row],[Date]], "dddd")</f>
        <v>Wednesday</v>
      </c>
      <c r="G413" s="20">
        <f t="shared" si="6"/>
        <v>1</v>
      </c>
    </row>
    <row r="414" spans="1:7" ht="19.5" x14ac:dyDescent="0.25">
      <c r="A414" s="20" t="s">
        <v>32</v>
      </c>
      <c r="B414" s="20" t="s">
        <v>11</v>
      </c>
      <c r="C414" s="20" t="s">
        <v>6</v>
      </c>
      <c r="D414" s="20" t="s">
        <v>3</v>
      </c>
      <c r="E414" s="20" t="str">
        <f>TEXT(Attendance_Data[[#This Row],[Date]], "mmm")</f>
        <v>May</v>
      </c>
      <c r="F414" s="20" t="str">
        <f>TEXT(Attendance_Data[[#This Row],[Date]], "dddd")</f>
        <v>Tuesday</v>
      </c>
      <c r="G414" s="20">
        <f t="shared" si="6"/>
        <v>1</v>
      </c>
    </row>
    <row r="415" spans="1:7" ht="19.5" x14ac:dyDescent="0.25">
      <c r="A415" s="20" t="s">
        <v>26</v>
      </c>
      <c r="B415" s="20" t="s">
        <v>11</v>
      </c>
      <c r="C415" s="20" t="s">
        <v>6</v>
      </c>
      <c r="D415" s="20" t="s">
        <v>7</v>
      </c>
      <c r="E415" s="20" t="str">
        <f>TEXT(Attendance_Data[[#This Row],[Date]], "mmm")</f>
        <v>May</v>
      </c>
      <c r="F415" s="20" t="str">
        <f>TEXT(Attendance_Data[[#This Row],[Date]], "dddd")</f>
        <v>Sunday</v>
      </c>
      <c r="G415" s="20">
        <f t="shared" si="6"/>
        <v>1</v>
      </c>
    </row>
    <row r="416" spans="1:7" ht="19.5" x14ac:dyDescent="0.25">
      <c r="A416" s="20" t="s">
        <v>31</v>
      </c>
      <c r="B416" s="20" t="s">
        <v>23</v>
      </c>
      <c r="C416" s="20" t="s">
        <v>24</v>
      </c>
      <c r="D416" s="20" t="s">
        <v>20</v>
      </c>
      <c r="E416" s="20" t="str">
        <f>TEXT(Attendance_Data[[#This Row],[Date]], "mmm")</f>
        <v>May</v>
      </c>
      <c r="F416" s="20" t="str">
        <f>TEXT(Attendance_Data[[#This Row],[Date]], "dddd")</f>
        <v>Tuesday</v>
      </c>
      <c r="G416" s="20">
        <f t="shared" si="6"/>
        <v>0</v>
      </c>
    </row>
    <row r="417" spans="1:7" ht="19.5" x14ac:dyDescent="0.25">
      <c r="A417" s="20" t="s">
        <v>15</v>
      </c>
      <c r="B417" s="20" t="s">
        <v>13</v>
      </c>
      <c r="C417" s="20" t="s">
        <v>14</v>
      </c>
      <c r="D417" s="20" t="s">
        <v>37</v>
      </c>
      <c r="E417" s="20" t="str">
        <f>TEXT(Attendance_Data[[#This Row],[Date]], "mmm")</f>
        <v>May</v>
      </c>
      <c r="F417" s="20" t="str">
        <f>TEXT(Attendance_Data[[#This Row],[Date]], "dddd")</f>
        <v>Sunday</v>
      </c>
      <c r="G417" s="20">
        <f t="shared" si="6"/>
        <v>0</v>
      </c>
    </row>
    <row r="418" spans="1:7" ht="19.5" x14ac:dyDescent="0.25">
      <c r="A418" s="20" t="s">
        <v>18</v>
      </c>
      <c r="B418" s="20" t="s">
        <v>5</v>
      </c>
      <c r="C418" s="20" t="s">
        <v>6</v>
      </c>
      <c r="D418" s="20" t="s">
        <v>7</v>
      </c>
      <c r="E418" s="20" t="str">
        <f>TEXT(Attendance_Data[[#This Row],[Date]], "mmm")</f>
        <v>May</v>
      </c>
      <c r="F418" s="20" t="str">
        <f>TEXT(Attendance_Data[[#This Row],[Date]], "dddd")</f>
        <v>Tuesday</v>
      </c>
      <c r="G418" s="20">
        <f t="shared" si="6"/>
        <v>1</v>
      </c>
    </row>
    <row r="419" spans="1:7" ht="19.5" x14ac:dyDescent="0.25">
      <c r="A419" s="20" t="s">
        <v>17</v>
      </c>
      <c r="B419" s="20" t="s">
        <v>23</v>
      </c>
      <c r="C419" s="20" t="s">
        <v>24</v>
      </c>
      <c r="D419" s="20" t="s">
        <v>7</v>
      </c>
      <c r="E419" s="20" t="str">
        <f>TEXT(Attendance_Data[[#This Row],[Date]], "mmm")</f>
        <v>May</v>
      </c>
      <c r="F419" s="20" t="str">
        <f>TEXT(Attendance_Data[[#This Row],[Date]], "dddd")</f>
        <v>Friday</v>
      </c>
      <c r="G419" s="20">
        <f t="shared" si="6"/>
        <v>1</v>
      </c>
    </row>
    <row r="420" spans="1:7" ht="19.5" x14ac:dyDescent="0.25">
      <c r="A420" s="20" t="s">
        <v>26</v>
      </c>
      <c r="B420" s="20" t="s">
        <v>1</v>
      </c>
      <c r="C420" s="20" t="s">
        <v>2</v>
      </c>
      <c r="D420" s="20" t="s">
        <v>37</v>
      </c>
      <c r="E420" s="20" t="str">
        <f>TEXT(Attendance_Data[[#This Row],[Date]], "mmm")</f>
        <v>May</v>
      </c>
      <c r="F420" s="20" t="str">
        <f>TEXT(Attendance_Data[[#This Row],[Date]], "dddd")</f>
        <v>Sunday</v>
      </c>
      <c r="G420" s="20">
        <f t="shared" si="6"/>
        <v>0</v>
      </c>
    </row>
    <row r="421" spans="1:7" ht="19.5" x14ac:dyDescent="0.25">
      <c r="A421" s="20" t="s">
        <v>35</v>
      </c>
      <c r="B421" s="20" t="s">
        <v>30</v>
      </c>
      <c r="C421" s="20" t="s">
        <v>24</v>
      </c>
      <c r="D421" s="20" t="s">
        <v>3</v>
      </c>
      <c r="E421" s="20" t="str">
        <f>TEXT(Attendance_Data[[#This Row],[Date]], "mmm")</f>
        <v>May</v>
      </c>
      <c r="F421" s="20" t="str">
        <f>TEXT(Attendance_Data[[#This Row],[Date]], "dddd")</f>
        <v>Wednesday</v>
      </c>
      <c r="G421" s="20">
        <f t="shared" si="6"/>
        <v>1</v>
      </c>
    </row>
    <row r="422" spans="1:7" ht="19.5" x14ac:dyDescent="0.25">
      <c r="A422" s="20" t="s">
        <v>25</v>
      </c>
      <c r="B422" s="20" t="s">
        <v>16</v>
      </c>
      <c r="C422" s="20" t="s">
        <v>14</v>
      </c>
      <c r="D422" s="20" t="s">
        <v>7</v>
      </c>
      <c r="E422" s="20" t="str">
        <f>TEXT(Attendance_Data[[#This Row],[Date]], "mmm")</f>
        <v>May</v>
      </c>
      <c r="F422" s="20" t="str">
        <f>TEXT(Attendance_Data[[#This Row],[Date]], "dddd")</f>
        <v>Sunday</v>
      </c>
      <c r="G422" s="20">
        <f t="shared" si="6"/>
        <v>1</v>
      </c>
    </row>
    <row r="423" spans="1:7" ht="19.5" x14ac:dyDescent="0.25">
      <c r="A423" s="20" t="s">
        <v>25</v>
      </c>
      <c r="B423" s="20" t="s">
        <v>16</v>
      </c>
      <c r="C423" s="20" t="s">
        <v>14</v>
      </c>
      <c r="D423" s="20" t="s">
        <v>20</v>
      </c>
      <c r="E423" s="20" t="str">
        <f>TEXT(Attendance_Data[[#This Row],[Date]], "mmm")</f>
        <v>May</v>
      </c>
      <c r="F423" s="20" t="str">
        <f>TEXT(Attendance_Data[[#This Row],[Date]], "dddd")</f>
        <v>Sunday</v>
      </c>
      <c r="G423" s="20">
        <f t="shared" si="6"/>
        <v>0</v>
      </c>
    </row>
    <row r="424" spans="1:7" ht="19.5" x14ac:dyDescent="0.25">
      <c r="A424" s="20" t="s">
        <v>29</v>
      </c>
      <c r="B424" s="20" t="s">
        <v>11</v>
      </c>
      <c r="C424" s="20" t="s">
        <v>6</v>
      </c>
      <c r="D424" s="20" t="s">
        <v>20</v>
      </c>
      <c r="E424" s="20" t="str">
        <f>TEXT(Attendance_Data[[#This Row],[Date]], "mmm")</f>
        <v>May</v>
      </c>
      <c r="F424" s="20" t="str">
        <f>TEXT(Attendance_Data[[#This Row],[Date]], "dddd")</f>
        <v>Monday</v>
      </c>
      <c r="G424" s="20">
        <f t="shared" si="6"/>
        <v>0</v>
      </c>
    </row>
    <row r="425" spans="1:7" ht="19.5" x14ac:dyDescent="0.25">
      <c r="A425" s="20" t="s">
        <v>39</v>
      </c>
      <c r="B425" s="20" t="s">
        <v>23</v>
      </c>
      <c r="C425" s="20" t="s">
        <v>24</v>
      </c>
      <c r="D425" s="20" t="s">
        <v>7</v>
      </c>
      <c r="E425" s="20" t="str">
        <f>TEXT(Attendance_Data[[#This Row],[Date]], "mmm")</f>
        <v>May</v>
      </c>
      <c r="F425" s="20" t="str">
        <f>TEXT(Attendance_Data[[#This Row],[Date]], "dddd")</f>
        <v>Thursday</v>
      </c>
      <c r="G425" s="20">
        <f t="shared" si="6"/>
        <v>1</v>
      </c>
    </row>
    <row r="426" spans="1:7" ht="19.5" x14ac:dyDescent="0.25">
      <c r="A426" s="20" t="s">
        <v>15</v>
      </c>
      <c r="B426" s="20" t="s">
        <v>23</v>
      </c>
      <c r="C426" s="20" t="s">
        <v>24</v>
      </c>
      <c r="D426" s="20" t="s">
        <v>37</v>
      </c>
      <c r="E426" s="20" t="str">
        <f>TEXT(Attendance_Data[[#This Row],[Date]], "mmm")</f>
        <v>May</v>
      </c>
      <c r="F426" s="20" t="str">
        <f>TEXT(Attendance_Data[[#This Row],[Date]], "dddd")</f>
        <v>Sunday</v>
      </c>
      <c r="G426" s="20">
        <f t="shared" si="6"/>
        <v>0</v>
      </c>
    </row>
    <row r="427" spans="1:7" ht="19.5" x14ac:dyDescent="0.25">
      <c r="A427" s="20" t="s">
        <v>36</v>
      </c>
      <c r="B427" s="20" t="s">
        <v>9</v>
      </c>
      <c r="C427" s="20" t="s">
        <v>2</v>
      </c>
      <c r="D427" s="20" t="s">
        <v>7</v>
      </c>
      <c r="E427" s="20" t="str">
        <f>TEXT(Attendance_Data[[#This Row],[Date]], "mmm")</f>
        <v>May</v>
      </c>
      <c r="F427" s="20" t="str">
        <f>TEXT(Attendance_Data[[#This Row],[Date]], "dddd")</f>
        <v>Saturday</v>
      </c>
      <c r="G427" s="20">
        <f t="shared" si="6"/>
        <v>1</v>
      </c>
    </row>
    <row r="428" spans="1:7" ht="19.5" x14ac:dyDescent="0.25">
      <c r="A428" s="20" t="s">
        <v>15</v>
      </c>
      <c r="B428" s="20" t="s">
        <v>30</v>
      </c>
      <c r="C428" s="20" t="s">
        <v>24</v>
      </c>
      <c r="D428" s="20" t="s">
        <v>7</v>
      </c>
      <c r="E428" s="20" t="str">
        <f>TEXT(Attendance_Data[[#This Row],[Date]], "mmm")</f>
        <v>May</v>
      </c>
      <c r="F428" s="20" t="str">
        <f>TEXT(Attendance_Data[[#This Row],[Date]], "dddd")</f>
        <v>Sunday</v>
      </c>
      <c r="G428" s="20">
        <f t="shared" si="6"/>
        <v>1</v>
      </c>
    </row>
    <row r="429" spans="1:7" ht="19.5" x14ac:dyDescent="0.25">
      <c r="A429" s="20" t="s">
        <v>10</v>
      </c>
      <c r="B429" s="20" t="s">
        <v>23</v>
      </c>
      <c r="C429" s="20" t="s">
        <v>24</v>
      </c>
      <c r="D429" s="20" t="s">
        <v>37</v>
      </c>
      <c r="E429" s="20" t="str">
        <f>TEXT(Attendance_Data[[#This Row],[Date]], "mmm")</f>
        <v>May</v>
      </c>
      <c r="F429" s="20" t="str">
        <f>TEXT(Attendance_Data[[#This Row],[Date]], "dddd")</f>
        <v>Friday</v>
      </c>
      <c r="G429" s="20">
        <f t="shared" si="6"/>
        <v>0</v>
      </c>
    </row>
    <row r="430" spans="1:7" ht="19.5" x14ac:dyDescent="0.25">
      <c r="A430" s="20" t="s">
        <v>33</v>
      </c>
      <c r="B430" s="20" t="s">
        <v>5</v>
      </c>
      <c r="C430" s="20" t="s">
        <v>6</v>
      </c>
      <c r="D430" s="20" t="s">
        <v>7</v>
      </c>
      <c r="E430" s="20" t="str">
        <f>TEXT(Attendance_Data[[#This Row],[Date]], "mmm")</f>
        <v>May</v>
      </c>
      <c r="F430" s="20" t="str">
        <f>TEXT(Attendance_Data[[#This Row],[Date]], "dddd")</f>
        <v>Wednesday</v>
      </c>
      <c r="G430" s="20">
        <f t="shared" si="6"/>
        <v>1</v>
      </c>
    </row>
    <row r="431" spans="1:7" ht="19.5" x14ac:dyDescent="0.25">
      <c r="A431" s="20" t="s">
        <v>0</v>
      </c>
      <c r="B431" s="20" t="s">
        <v>1</v>
      </c>
      <c r="C431" s="20" t="s">
        <v>2</v>
      </c>
      <c r="D431" s="20" t="s">
        <v>7</v>
      </c>
      <c r="E431" s="20" t="str">
        <f>TEXT(Attendance_Data[[#This Row],[Date]], "mmm")</f>
        <v>May</v>
      </c>
      <c r="F431" s="20" t="str">
        <f>TEXT(Attendance_Data[[#This Row],[Date]], "dddd")</f>
        <v>Wednesday</v>
      </c>
      <c r="G431" s="20">
        <f t="shared" si="6"/>
        <v>1</v>
      </c>
    </row>
    <row r="432" spans="1:7" ht="19.5" x14ac:dyDescent="0.25">
      <c r="A432" s="20" t="s">
        <v>49</v>
      </c>
      <c r="B432" s="20" t="s">
        <v>9</v>
      </c>
      <c r="C432" s="20" t="s">
        <v>2</v>
      </c>
      <c r="D432" s="20" t="s">
        <v>7</v>
      </c>
      <c r="E432" s="20" t="str">
        <f>TEXT(Attendance_Data[[#This Row],[Date]], "mmm")</f>
        <v>May</v>
      </c>
      <c r="F432" s="20" t="str">
        <f>TEXT(Attendance_Data[[#This Row],[Date]], "dddd")</f>
        <v>Thursday</v>
      </c>
      <c r="G432" s="20">
        <f t="shared" si="6"/>
        <v>1</v>
      </c>
    </row>
    <row r="433" spans="1:7" ht="19.5" x14ac:dyDescent="0.25">
      <c r="A433" s="20" t="s">
        <v>19</v>
      </c>
      <c r="B433" s="20" t="s">
        <v>16</v>
      </c>
      <c r="C433" s="20" t="s">
        <v>14</v>
      </c>
      <c r="D433" s="20" t="s">
        <v>7</v>
      </c>
      <c r="E433" s="20" t="str">
        <f>TEXT(Attendance_Data[[#This Row],[Date]], "mmm")</f>
        <v>May</v>
      </c>
      <c r="F433" s="20" t="str">
        <f>TEXT(Attendance_Data[[#This Row],[Date]], "dddd")</f>
        <v>Saturday</v>
      </c>
      <c r="G433" s="20">
        <f t="shared" si="6"/>
        <v>1</v>
      </c>
    </row>
    <row r="434" spans="1:7" ht="19.5" x14ac:dyDescent="0.25">
      <c r="A434" s="20" t="s">
        <v>29</v>
      </c>
      <c r="B434" s="20" t="s">
        <v>23</v>
      </c>
      <c r="C434" s="20" t="s">
        <v>24</v>
      </c>
      <c r="D434" s="20" t="s">
        <v>20</v>
      </c>
      <c r="E434" s="20" t="str">
        <f>TEXT(Attendance_Data[[#This Row],[Date]], "mmm")</f>
        <v>May</v>
      </c>
      <c r="F434" s="20" t="str">
        <f>TEXT(Attendance_Data[[#This Row],[Date]], "dddd")</f>
        <v>Monday</v>
      </c>
      <c r="G434" s="20">
        <f t="shared" si="6"/>
        <v>0</v>
      </c>
    </row>
    <row r="435" spans="1:7" ht="19.5" x14ac:dyDescent="0.25">
      <c r="A435" s="20" t="s">
        <v>15</v>
      </c>
      <c r="B435" s="20" t="s">
        <v>5</v>
      </c>
      <c r="C435" s="20" t="s">
        <v>6</v>
      </c>
      <c r="D435" s="20" t="s">
        <v>7</v>
      </c>
      <c r="E435" s="20" t="str">
        <f>TEXT(Attendance_Data[[#This Row],[Date]], "mmm")</f>
        <v>May</v>
      </c>
      <c r="F435" s="20" t="str">
        <f>TEXT(Attendance_Data[[#This Row],[Date]], "dddd")</f>
        <v>Sunday</v>
      </c>
      <c r="G435" s="20">
        <f t="shared" si="6"/>
        <v>1</v>
      </c>
    </row>
    <row r="436" spans="1:7" ht="19.5" x14ac:dyDescent="0.25">
      <c r="A436" s="20" t="s">
        <v>15</v>
      </c>
      <c r="B436" s="20" t="s">
        <v>9</v>
      </c>
      <c r="C436" s="20" t="s">
        <v>2</v>
      </c>
      <c r="D436" s="20" t="s">
        <v>3</v>
      </c>
      <c r="E436" s="20" t="str">
        <f>TEXT(Attendance_Data[[#This Row],[Date]], "mmm")</f>
        <v>May</v>
      </c>
      <c r="F436" s="20" t="str">
        <f>TEXT(Attendance_Data[[#This Row],[Date]], "dddd")</f>
        <v>Sunday</v>
      </c>
      <c r="G436" s="20">
        <f t="shared" si="6"/>
        <v>1</v>
      </c>
    </row>
    <row r="437" spans="1:7" ht="19.5" x14ac:dyDescent="0.25">
      <c r="A437" s="20" t="s">
        <v>4</v>
      </c>
      <c r="B437" s="20" t="s">
        <v>43</v>
      </c>
      <c r="C437" s="20" t="s">
        <v>28</v>
      </c>
      <c r="D437" s="20" t="s">
        <v>7</v>
      </c>
      <c r="E437" s="20" t="str">
        <f>TEXT(Attendance_Data[[#This Row],[Date]], "mmm")</f>
        <v>May</v>
      </c>
      <c r="F437" s="20" t="str">
        <f>TEXT(Attendance_Data[[#This Row],[Date]], "dddd")</f>
        <v>Thursday</v>
      </c>
      <c r="G437" s="20">
        <f t="shared" si="6"/>
        <v>1</v>
      </c>
    </row>
    <row r="438" spans="1:7" ht="19.5" x14ac:dyDescent="0.25">
      <c r="A438" s="20" t="s">
        <v>0</v>
      </c>
      <c r="B438" s="20" t="s">
        <v>9</v>
      </c>
      <c r="C438" s="20" t="s">
        <v>2</v>
      </c>
      <c r="D438" s="20" t="s">
        <v>7</v>
      </c>
      <c r="E438" s="20" t="str">
        <f>TEXT(Attendance_Data[[#This Row],[Date]], "mmm")</f>
        <v>May</v>
      </c>
      <c r="F438" s="20" t="str">
        <f>TEXT(Attendance_Data[[#This Row],[Date]], "dddd")</f>
        <v>Wednesday</v>
      </c>
      <c r="G438" s="20">
        <f t="shared" si="6"/>
        <v>1</v>
      </c>
    </row>
    <row r="439" spans="1:7" ht="19.5" x14ac:dyDescent="0.25">
      <c r="A439" s="20" t="s">
        <v>25</v>
      </c>
      <c r="B439" s="20" t="s">
        <v>27</v>
      </c>
      <c r="C439" s="20" t="s">
        <v>28</v>
      </c>
      <c r="D439" s="20" t="s">
        <v>3</v>
      </c>
      <c r="E439" s="20" t="str">
        <f>TEXT(Attendance_Data[[#This Row],[Date]], "mmm")</f>
        <v>May</v>
      </c>
      <c r="F439" s="20" t="str">
        <f>TEXT(Attendance_Data[[#This Row],[Date]], "dddd")</f>
        <v>Sunday</v>
      </c>
      <c r="G439" s="20">
        <f t="shared" si="6"/>
        <v>1</v>
      </c>
    </row>
    <row r="440" spans="1:7" ht="19.5" x14ac:dyDescent="0.25">
      <c r="A440" s="20" t="s">
        <v>35</v>
      </c>
      <c r="B440" s="20" t="s">
        <v>13</v>
      </c>
      <c r="C440" s="20" t="s">
        <v>14</v>
      </c>
      <c r="D440" s="20" t="s">
        <v>37</v>
      </c>
      <c r="E440" s="20" t="str">
        <f>TEXT(Attendance_Data[[#This Row],[Date]], "mmm")</f>
        <v>May</v>
      </c>
      <c r="F440" s="20" t="str">
        <f>TEXT(Attendance_Data[[#This Row],[Date]], "dddd")</f>
        <v>Wednesday</v>
      </c>
      <c r="G440" s="20">
        <f t="shared" si="6"/>
        <v>0</v>
      </c>
    </row>
    <row r="441" spans="1:7" ht="19.5" x14ac:dyDescent="0.25">
      <c r="A441" s="20" t="s">
        <v>45</v>
      </c>
      <c r="B441" s="20" t="s">
        <v>30</v>
      </c>
      <c r="C441" s="20" t="s">
        <v>24</v>
      </c>
      <c r="D441" s="20" t="s">
        <v>37</v>
      </c>
      <c r="E441" s="20" t="str">
        <f>TEXT(Attendance_Data[[#This Row],[Date]], "mmm")</f>
        <v>May</v>
      </c>
      <c r="F441" s="20" t="str">
        <f>TEXT(Attendance_Data[[#This Row],[Date]], "dddd")</f>
        <v>Monday</v>
      </c>
      <c r="G441" s="20">
        <f t="shared" si="6"/>
        <v>0</v>
      </c>
    </row>
    <row r="442" spans="1:7" ht="19.5" x14ac:dyDescent="0.25">
      <c r="A442" s="20" t="s">
        <v>44</v>
      </c>
      <c r="B442" s="20" t="s">
        <v>1</v>
      </c>
      <c r="C442" s="20" t="s">
        <v>2</v>
      </c>
      <c r="D442" s="20" t="s">
        <v>20</v>
      </c>
      <c r="E442" s="20" t="str">
        <f>TEXT(Attendance_Data[[#This Row],[Date]], "mmm")</f>
        <v>May</v>
      </c>
      <c r="F442" s="20" t="str">
        <f>TEXT(Attendance_Data[[#This Row],[Date]], "dddd")</f>
        <v>Saturday</v>
      </c>
      <c r="G442" s="20">
        <f t="shared" si="6"/>
        <v>0</v>
      </c>
    </row>
    <row r="443" spans="1:7" ht="19.5" x14ac:dyDescent="0.25">
      <c r="A443" s="20" t="s">
        <v>44</v>
      </c>
      <c r="B443" s="20" t="s">
        <v>16</v>
      </c>
      <c r="C443" s="20" t="s">
        <v>14</v>
      </c>
      <c r="D443" s="20" t="s">
        <v>3</v>
      </c>
      <c r="E443" s="20" t="str">
        <f>TEXT(Attendance_Data[[#This Row],[Date]], "mmm")</f>
        <v>May</v>
      </c>
      <c r="F443" s="20" t="str">
        <f>TEXT(Attendance_Data[[#This Row],[Date]], "dddd")</f>
        <v>Saturday</v>
      </c>
      <c r="G443" s="20">
        <f t="shared" si="6"/>
        <v>1</v>
      </c>
    </row>
    <row r="444" spans="1:7" ht="19.5" x14ac:dyDescent="0.25">
      <c r="A444" s="20" t="s">
        <v>41</v>
      </c>
      <c r="B444" s="20" t="s">
        <v>11</v>
      </c>
      <c r="C444" s="20" t="s">
        <v>6</v>
      </c>
      <c r="D444" s="20" t="s">
        <v>7</v>
      </c>
      <c r="E444" s="20" t="str">
        <f>TEXT(Attendance_Data[[#This Row],[Date]], "mmm")</f>
        <v>May</v>
      </c>
      <c r="F444" s="20" t="str">
        <f>TEXT(Attendance_Data[[#This Row],[Date]], "dddd")</f>
        <v>Monday</v>
      </c>
      <c r="G444" s="20">
        <f t="shared" si="6"/>
        <v>1</v>
      </c>
    </row>
    <row r="445" spans="1:7" ht="19.5" x14ac:dyDescent="0.25">
      <c r="A445" s="20" t="s">
        <v>12</v>
      </c>
      <c r="B445" s="20" t="s">
        <v>9</v>
      </c>
      <c r="C445" s="20" t="s">
        <v>2</v>
      </c>
      <c r="D445" s="20" t="s">
        <v>7</v>
      </c>
      <c r="E445" s="20" t="str">
        <f>TEXT(Attendance_Data[[#This Row],[Date]], "mmm")</f>
        <v>May</v>
      </c>
      <c r="F445" s="20" t="str">
        <f>TEXT(Attendance_Data[[#This Row],[Date]], "dddd")</f>
        <v>Monday</v>
      </c>
      <c r="G445" s="20">
        <f t="shared" si="6"/>
        <v>1</v>
      </c>
    </row>
    <row r="446" spans="1:7" ht="19.5" x14ac:dyDescent="0.25">
      <c r="A446" s="20" t="s">
        <v>31</v>
      </c>
      <c r="B446" s="20" t="s">
        <v>23</v>
      </c>
      <c r="C446" s="20" t="s">
        <v>24</v>
      </c>
      <c r="D446" s="20" t="s">
        <v>3</v>
      </c>
      <c r="E446" s="20" t="str">
        <f>TEXT(Attendance_Data[[#This Row],[Date]], "mmm")</f>
        <v>May</v>
      </c>
      <c r="F446" s="20" t="str">
        <f>TEXT(Attendance_Data[[#This Row],[Date]], "dddd")</f>
        <v>Tuesday</v>
      </c>
      <c r="G446" s="20">
        <f t="shared" si="6"/>
        <v>1</v>
      </c>
    </row>
    <row r="447" spans="1:7" ht="19.5" x14ac:dyDescent="0.25">
      <c r="A447" s="20" t="s">
        <v>0</v>
      </c>
      <c r="B447" s="20" t="s">
        <v>9</v>
      </c>
      <c r="C447" s="20" t="s">
        <v>2</v>
      </c>
      <c r="D447" s="20" t="s">
        <v>7</v>
      </c>
      <c r="E447" s="20" t="str">
        <f>TEXT(Attendance_Data[[#This Row],[Date]], "mmm")</f>
        <v>May</v>
      </c>
      <c r="F447" s="20" t="str">
        <f>TEXT(Attendance_Data[[#This Row],[Date]], "dddd")</f>
        <v>Wednesday</v>
      </c>
      <c r="G447" s="20">
        <f t="shared" si="6"/>
        <v>1</v>
      </c>
    </row>
    <row r="448" spans="1:7" ht="19.5" x14ac:dyDescent="0.25">
      <c r="A448" s="20" t="s">
        <v>8</v>
      </c>
      <c r="B448" s="20" t="s">
        <v>11</v>
      </c>
      <c r="C448" s="20" t="s">
        <v>6</v>
      </c>
      <c r="D448" s="20" t="s">
        <v>7</v>
      </c>
      <c r="E448" s="20" t="str">
        <f>TEXT(Attendance_Data[[#This Row],[Date]], "mmm")</f>
        <v>May</v>
      </c>
      <c r="F448" s="20" t="str">
        <f>TEXT(Attendance_Data[[#This Row],[Date]], "dddd")</f>
        <v>Wednesday</v>
      </c>
      <c r="G448" s="20">
        <f t="shared" si="6"/>
        <v>1</v>
      </c>
    </row>
    <row r="449" spans="1:7" ht="19.5" x14ac:dyDescent="0.25">
      <c r="A449" s="20" t="s">
        <v>15</v>
      </c>
      <c r="B449" s="20" t="s">
        <v>16</v>
      </c>
      <c r="C449" s="20" t="s">
        <v>14</v>
      </c>
      <c r="D449" s="20" t="s">
        <v>3</v>
      </c>
      <c r="E449" s="20" t="str">
        <f>TEXT(Attendance_Data[[#This Row],[Date]], "mmm")</f>
        <v>May</v>
      </c>
      <c r="F449" s="20" t="str">
        <f>TEXT(Attendance_Data[[#This Row],[Date]], "dddd")</f>
        <v>Sunday</v>
      </c>
      <c r="G449" s="20">
        <f t="shared" si="6"/>
        <v>1</v>
      </c>
    </row>
    <row r="450" spans="1:7" ht="19.5" x14ac:dyDescent="0.25">
      <c r="A450" s="20" t="s">
        <v>34</v>
      </c>
      <c r="B450" s="20" t="s">
        <v>30</v>
      </c>
      <c r="C450" s="20" t="s">
        <v>24</v>
      </c>
      <c r="D450" s="20" t="s">
        <v>7</v>
      </c>
      <c r="E450" s="20" t="str">
        <f>TEXT(Attendance_Data[[#This Row],[Date]], "mmm")</f>
        <v>May</v>
      </c>
      <c r="F450" s="20" t="str">
        <f>TEXT(Attendance_Data[[#This Row],[Date]], "dddd")</f>
        <v>Saturday</v>
      </c>
      <c r="G450" s="20">
        <f t="shared" ref="G450:G501" si="7">IF(OR(D450="Present", D450="Late"),1,0)</f>
        <v>1</v>
      </c>
    </row>
    <row r="451" spans="1:7" ht="19.5" x14ac:dyDescent="0.25">
      <c r="A451" s="20" t="s">
        <v>31</v>
      </c>
      <c r="B451" s="20" t="s">
        <v>11</v>
      </c>
      <c r="C451" s="20" t="s">
        <v>6</v>
      </c>
      <c r="D451" s="20" t="s">
        <v>7</v>
      </c>
      <c r="E451" s="20" t="str">
        <f>TEXT(Attendance_Data[[#This Row],[Date]], "mmm")</f>
        <v>May</v>
      </c>
      <c r="F451" s="20" t="str">
        <f>TEXT(Attendance_Data[[#This Row],[Date]], "dddd")</f>
        <v>Tuesday</v>
      </c>
      <c r="G451" s="20">
        <f t="shared" si="7"/>
        <v>1</v>
      </c>
    </row>
    <row r="452" spans="1:7" ht="19.5" x14ac:dyDescent="0.25">
      <c r="A452" s="20" t="s">
        <v>33</v>
      </c>
      <c r="B452" s="20" t="s">
        <v>27</v>
      </c>
      <c r="C452" s="20" t="s">
        <v>28</v>
      </c>
      <c r="D452" s="20" t="s">
        <v>3</v>
      </c>
      <c r="E452" s="20" t="str">
        <f>TEXT(Attendance_Data[[#This Row],[Date]], "mmm")</f>
        <v>May</v>
      </c>
      <c r="F452" s="20" t="str">
        <f>TEXT(Attendance_Data[[#This Row],[Date]], "dddd")</f>
        <v>Wednesday</v>
      </c>
      <c r="G452" s="20">
        <f t="shared" si="7"/>
        <v>1</v>
      </c>
    </row>
    <row r="453" spans="1:7" ht="19.5" x14ac:dyDescent="0.25">
      <c r="A453" s="20" t="s">
        <v>47</v>
      </c>
      <c r="B453" s="20" t="s">
        <v>30</v>
      </c>
      <c r="C453" s="20" t="s">
        <v>24</v>
      </c>
      <c r="D453" s="20" t="s">
        <v>7</v>
      </c>
      <c r="E453" s="20" t="str">
        <f>TEXT(Attendance_Data[[#This Row],[Date]], "mmm")</f>
        <v>May</v>
      </c>
      <c r="F453" s="20" t="str">
        <f>TEXT(Attendance_Data[[#This Row],[Date]], "dddd")</f>
        <v>Thursday</v>
      </c>
      <c r="G453" s="20">
        <f t="shared" si="7"/>
        <v>1</v>
      </c>
    </row>
    <row r="454" spans="1:7" ht="19.5" x14ac:dyDescent="0.25">
      <c r="A454" s="20" t="s">
        <v>18</v>
      </c>
      <c r="B454" s="20" t="s">
        <v>13</v>
      </c>
      <c r="C454" s="20" t="s">
        <v>14</v>
      </c>
      <c r="D454" s="20" t="s">
        <v>3</v>
      </c>
      <c r="E454" s="20" t="str">
        <f>TEXT(Attendance_Data[[#This Row],[Date]], "mmm")</f>
        <v>May</v>
      </c>
      <c r="F454" s="20" t="str">
        <f>TEXT(Attendance_Data[[#This Row],[Date]], "dddd")</f>
        <v>Tuesday</v>
      </c>
      <c r="G454" s="20">
        <f t="shared" si="7"/>
        <v>1</v>
      </c>
    </row>
    <row r="455" spans="1:7" ht="19.5" x14ac:dyDescent="0.25">
      <c r="A455" s="20" t="s">
        <v>41</v>
      </c>
      <c r="B455" s="20" t="s">
        <v>1</v>
      </c>
      <c r="C455" s="20" t="s">
        <v>2</v>
      </c>
      <c r="D455" s="20" t="s">
        <v>3</v>
      </c>
      <c r="E455" s="20" t="str">
        <f>TEXT(Attendance_Data[[#This Row],[Date]], "mmm")</f>
        <v>May</v>
      </c>
      <c r="F455" s="20" t="str">
        <f>TEXT(Attendance_Data[[#This Row],[Date]], "dddd")</f>
        <v>Monday</v>
      </c>
      <c r="G455" s="20">
        <f t="shared" si="7"/>
        <v>1</v>
      </c>
    </row>
    <row r="456" spans="1:7" ht="19.5" x14ac:dyDescent="0.25">
      <c r="A456" s="20" t="s">
        <v>10</v>
      </c>
      <c r="B456" s="20" t="s">
        <v>30</v>
      </c>
      <c r="C456" s="20" t="s">
        <v>24</v>
      </c>
      <c r="D456" s="20" t="s">
        <v>3</v>
      </c>
      <c r="E456" s="20" t="str">
        <f>TEXT(Attendance_Data[[#This Row],[Date]], "mmm")</f>
        <v>May</v>
      </c>
      <c r="F456" s="20" t="str">
        <f>TEXT(Attendance_Data[[#This Row],[Date]], "dddd")</f>
        <v>Friday</v>
      </c>
      <c r="G456" s="20">
        <f t="shared" si="7"/>
        <v>1</v>
      </c>
    </row>
    <row r="457" spans="1:7" ht="19.5" x14ac:dyDescent="0.25">
      <c r="A457" s="20" t="s">
        <v>12</v>
      </c>
      <c r="B457" s="20" t="s">
        <v>9</v>
      </c>
      <c r="C457" s="20" t="s">
        <v>2</v>
      </c>
      <c r="D457" s="20" t="s">
        <v>7</v>
      </c>
      <c r="E457" s="20" t="str">
        <f>TEXT(Attendance_Data[[#This Row],[Date]], "mmm")</f>
        <v>May</v>
      </c>
      <c r="F457" s="20" t="str">
        <f>TEXT(Attendance_Data[[#This Row],[Date]], "dddd")</f>
        <v>Monday</v>
      </c>
      <c r="G457" s="20">
        <f t="shared" si="7"/>
        <v>1</v>
      </c>
    </row>
    <row r="458" spans="1:7" ht="19.5" x14ac:dyDescent="0.25">
      <c r="A458" s="20" t="s">
        <v>41</v>
      </c>
      <c r="B458" s="20" t="s">
        <v>13</v>
      </c>
      <c r="C458" s="20" t="s">
        <v>14</v>
      </c>
      <c r="D458" s="20" t="s">
        <v>7</v>
      </c>
      <c r="E458" s="20" t="str">
        <f>TEXT(Attendance_Data[[#This Row],[Date]], "mmm")</f>
        <v>May</v>
      </c>
      <c r="F458" s="20" t="str">
        <f>TEXT(Attendance_Data[[#This Row],[Date]], "dddd")</f>
        <v>Monday</v>
      </c>
      <c r="G458" s="20">
        <f t="shared" si="7"/>
        <v>1</v>
      </c>
    </row>
    <row r="459" spans="1:7" ht="19.5" x14ac:dyDescent="0.25">
      <c r="A459" s="20" t="s">
        <v>33</v>
      </c>
      <c r="B459" s="20" t="s">
        <v>11</v>
      </c>
      <c r="C459" s="20" t="s">
        <v>6</v>
      </c>
      <c r="D459" s="20" t="s">
        <v>7</v>
      </c>
      <c r="E459" s="20" t="str">
        <f>TEXT(Attendance_Data[[#This Row],[Date]], "mmm")</f>
        <v>May</v>
      </c>
      <c r="F459" s="20" t="str">
        <f>TEXT(Attendance_Data[[#This Row],[Date]], "dddd")</f>
        <v>Wednesday</v>
      </c>
      <c r="G459" s="20">
        <f t="shared" si="7"/>
        <v>1</v>
      </c>
    </row>
    <row r="460" spans="1:7" ht="19.5" x14ac:dyDescent="0.25">
      <c r="A460" s="20" t="s">
        <v>25</v>
      </c>
      <c r="B460" s="20" t="s">
        <v>27</v>
      </c>
      <c r="C460" s="20" t="s">
        <v>28</v>
      </c>
      <c r="D460" s="20" t="s">
        <v>3</v>
      </c>
      <c r="E460" s="20" t="str">
        <f>TEXT(Attendance_Data[[#This Row],[Date]], "mmm")</f>
        <v>May</v>
      </c>
      <c r="F460" s="20" t="str">
        <f>TEXT(Attendance_Data[[#This Row],[Date]], "dddd")</f>
        <v>Sunday</v>
      </c>
      <c r="G460" s="20">
        <f t="shared" si="7"/>
        <v>1</v>
      </c>
    </row>
    <row r="461" spans="1:7" ht="19.5" x14ac:dyDescent="0.25">
      <c r="A461" s="20" t="s">
        <v>35</v>
      </c>
      <c r="B461" s="20" t="s">
        <v>16</v>
      </c>
      <c r="C461" s="20" t="s">
        <v>14</v>
      </c>
      <c r="D461" s="20" t="s">
        <v>7</v>
      </c>
      <c r="E461" s="20" t="str">
        <f>TEXT(Attendance_Data[[#This Row],[Date]], "mmm")</f>
        <v>May</v>
      </c>
      <c r="F461" s="20" t="str">
        <f>TEXT(Attendance_Data[[#This Row],[Date]], "dddd")</f>
        <v>Wednesday</v>
      </c>
      <c r="G461" s="20">
        <f t="shared" si="7"/>
        <v>1</v>
      </c>
    </row>
    <row r="462" spans="1:7" ht="19.5" x14ac:dyDescent="0.25">
      <c r="A462" s="20" t="s">
        <v>21</v>
      </c>
      <c r="B462" s="20" t="s">
        <v>43</v>
      </c>
      <c r="C462" s="20" t="s">
        <v>28</v>
      </c>
      <c r="D462" s="20" t="s">
        <v>7</v>
      </c>
      <c r="E462" s="20" t="str">
        <f>TEXT(Attendance_Data[[#This Row],[Date]], "mmm")</f>
        <v>May</v>
      </c>
      <c r="F462" s="20" t="str">
        <f>TEXT(Attendance_Data[[#This Row],[Date]], "dddd")</f>
        <v>Friday</v>
      </c>
      <c r="G462" s="20">
        <f t="shared" si="7"/>
        <v>1</v>
      </c>
    </row>
    <row r="463" spans="1:7" ht="19.5" x14ac:dyDescent="0.25">
      <c r="A463" s="20" t="s">
        <v>41</v>
      </c>
      <c r="B463" s="20" t="s">
        <v>16</v>
      </c>
      <c r="C463" s="20" t="s">
        <v>14</v>
      </c>
      <c r="D463" s="20" t="s">
        <v>7</v>
      </c>
      <c r="E463" s="20" t="str">
        <f>TEXT(Attendance_Data[[#This Row],[Date]], "mmm")</f>
        <v>May</v>
      </c>
      <c r="F463" s="20" t="str">
        <f>TEXT(Attendance_Data[[#This Row],[Date]], "dddd")</f>
        <v>Monday</v>
      </c>
      <c r="G463" s="20">
        <f t="shared" si="7"/>
        <v>1</v>
      </c>
    </row>
    <row r="464" spans="1:7" ht="19.5" x14ac:dyDescent="0.25">
      <c r="A464" s="20" t="s">
        <v>42</v>
      </c>
      <c r="B464" s="20" t="s">
        <v>27</v>
      </c>
      <c r="C464" s="20" t="s">
        <v>28</v>
      </c>
      <c r="D464" s="20" t="s">
        <v>3</v>
      </c>
      <c r="E464" s="20" t="str">
        <f>TEXT(Attendance_Data[[#This Row],[Date]], "mmm")</f>
        <v>May</v>
      </c>
      <c r="F464" s="20" t="str">
        <f>TEXT(Attendance_Data[[#This Row],[Date]], "dddd")</f>
        <v>Tuesday</v>
      </c>
      <c r="G464" s="20">
        <f t="shared" si="7"/>
        <v>1</v>
      </c>
    </row>
    <row r="465" spans="1:7" ht="19.5" x14ac:dyDescent="0.25">
      <c r="A465" s="20" t="s">
        <v>12</v>
      </c>
      <c r="B465" s="20" t="s">
        <v>43</v>
      </c>
      <c r="C465" s="20" t="s">
        <v>28</v>
      </c>
      <c r="D465" s="20" t="s">
        <v>7</v>
      </c>
      <c r="E465" s="20" t="str">
        <f>TEXT(Attendance_Data[[#This Row],[Date]], "mmm")</f>
        <v>May</v>
      </c>
      <c r="F465" s="20" t="str">
        <f>TEXT(Attendance_Data[[#This Row],[Date]], "dddd")</f>
        <v>Monday</v>
      </c>
      <c r="G465" s="20">
        <f t="shared" si="7"/>
        <v>1</v>
      </c>
    </row>
    <row r="466" spans="1:7" ht="19.5" x14ac:dyDescent="0.25">
      <c r="A466" s="20" t="s">
        <v>4</v>
      </c>
      <c r="B466" s="20" t="s">
        <v>1</v>
      </c>
      <c r="C466" s="20" t="s">
        <v>2</v>
      </c>
      <c r="D466" s="20" t="s">
        <v>3</v>
      </c>
      <c r="E466" s="20" t="str">
        <f>TEXT(Attendance_Data[[#This Row],[Date]], "mmm")</f>
        <v>May</v>
      </c>
      <c r="F466" s="20" t="str">
        <f>TEXT(Attendance_Data[[#This Row],[Date]], "dddd")</f>
        <v>Thursday</v>
      </c>
      <c r="G466" s="20">
        <f t="shared" si="7"/>
        <v>1</v>
      </c>
    </row>
    <row r="467" spans="1:7" ht="19.5" x14ac:dyDescent="0.25">
      <c r="A467" s="20" t="s">
        <v>17</v>
      </c>
      <c r="B467" s="20" t="s">
        <v>43</v>
      </c>
      <c r="C467" s="20" t="s">
        <v>28</v>
      </c>
      <c r="D467" s="20" t="s">
        <v>7</v>
      </c>
      <c r="E467" s="20" t="str">
        <f>TEXT(Attendance_Data[[#This Row],[Date]], "mmm")</f>
        <v>May</v>
      </c>
      <c r="F467" s="20" t="str">
        <f>TEXT(Attendance_Data[[#This Row],[Date]], "dddd")</f>
        <v>Friday</v>
      </c>
      <c r="G467" s="20">
        <f t="shared" si="7"/>
        <v>1</v>
      </c>
    </row>
    <row r="468" spans="1:7" ht="19.5" x14ac:dyDescent="0.25">
      <c r="A468" s="20" t="s">
        <v>25</v>
      </c>
      <c r="B468" s="20" t="s">
        <v>11</v>
      </c>
      <c r="C468" s="20" t="s">
        <v>6</v>
      </c>
      <c r="D468" s="20" t="s">
        <v>7</v>
      </c>
      <c r="E468" s="20" t="str">
        <f>TEXT(Attendance_Data[[#This Row],[Date]], "mmm")</f>
        <v>May</v>
      </c>
      <c r="F468" s="20" t="str">
        <f>TEXT(Attendance_Data[[#This Row],[Date]], "dddd")</f>
        <v>Sunday</v>
      </c>
      <c r="G468" s="20">
        <f t="shared" si="7"/>
        <v>1</v>
      </c>
    </row>
    <row r="469" spans="1:7" ht="19.5" x14ac:dyDescent="0.25">
      <c r="A469" s="20" t="s">
        <v>17</v>
      </c>
      <c r="B469" s="20" t="s">
        <v>1</v>
      </c>
      <c r="C469" s="20" t="s">
        <v>2</v>
      </c>
      <c r="D469" s="20" t="s">
        <v>7</v>
      </c>
      <c r="E469" s="20" t="str">
        <f>TEXT(Attendance_Data[[#This Row],[Date]], "mmm")</f>
        <v>May</v>
      </c>
      <c r="F469" s="20" t="str">
        <f>TEXT(Attendance_Data[[#This Row],[Date]], "dddd")</f>
        <v>Friday</v>
      </c>
      <c r="G469" s="20">
        <f t="shared" si="7"/>
        <v>1</v>
      </c>
    </row>
    <row r="470" spans="1:7" ht="19.5" x14ac:dyDescent="0.25">
      <c r="A470" s="20" t="s">
        <v>47</v>
      </c>
      <c r="B470" s="20" t="s">
        <v>1</v>
      </c>
      <c r="C470" s="20" t="s">
        <v>2</v>
      </c>
      <c r="D470" s="20" t="s">
        <v>7</v>
      </c>
      <c r="E470" s="20" t="str">
        <f>TEXT(Attendance_Data[[#This Row],[Date]], "mmm")</f>
        <v>May</v>
      </c>
      <c r="F470" s="20" t="str">
        <f>TEXT(Attendance_Data[[#This Row],[Date]], "dddd")</f>
        <v>Thursday</v>
      </c>
      <c r="G470" s="20">
        <f t="shared" si="7"/>
        <v>1</v>
      </c>
    </row>
    <row r="471" spans="1:7" ht="19.5" x14ac:dyDescent="0.25">
      <c r="A471" s="20" t="s">
        <v>26</v>
      </c>
      <c r="B471" s="20" t="s">
        <v>1</v>
      </c>
      <c r="C471" s="20" t="s">
        <v>2</v>
      </c>
      <c r="D471" s="20" t="s">
        <v>7</v>
      </c>
      <c r="E471" s="20" t="str">
        <f>TEXT(Attendance_Data[[#This Row],[Date]], "mmm")</f>
        <v>May</v>
      </c>
      <c r="F471" s="20" t="str">
        <f>TEXT(Attendance_Data[[#This Row],[Date]], "dddd")</f>
        <v>Sunday</v>
      </c>
      <c r="G471" s="20">
        <f t="shared" si="7"/>
        <v>1</v>
      </c>
    </row>
    <row r="472" spans="1:7" ht="19.5" x14ac:dyDescent="0.25">
      <c r="A472" s="20" t="s">
        <v>41</v>
      </c>
      <c r="B472" s="20" t="s">
        <v>23</v>
      </c>
      <c r="C472" s="20" t="s">
        <v>24</v>
      </c>
      <c r="D472" s="20" t="s">
        <v>7</v>
      </c>
      <c r="E472" s="20" t="str">
        <f>TEXT(Attendance_Data[[#This Row],[Date]], "mmm")</f>
        <v>May</v>
      </c>
      <c r="F472" s="20" t="str">
        <f>TEXT(Attendance_Data[[#This Row],[Date]], "dddd")</f>
        <v>Monday</v>
      </c>
      <c r="G472" s="20">
        <f t="shared" si="7"/>
        <v>1</v>
      </c>
    </row>
    <row r="473" spans="1:7" ht="19.5" x14ac:dyDescent="0.25">
      <c r="A473" s="20" t="s">
        <v>0</v>
      </c>
      <c r="B473" s="20" t="s">
        <v>1</v>
      </c>
      <c r="C473" s="20" t="s">
        <v>2</v>
      </c>
      <c r="D473" s="20" t="s">
        <v>7</v>
      </c>
      <c r="E473" s="20" t="str">
        <f>TEXT(Attendance_Data[[#This Row],[Date]], "mmm")</f>
        <v>May</v>
      </c>
      <c r="F473" s="20" t="str">
        <f>TEXT(Attendance_Data[[#This Row],[Date]], "dddd")</f>
        <v>Wednesday</v>
      </c>
      <c r="G473" s="20">
        <f t="shared" si="7"/>
        <v>1</v>
      </c>
    </row>
    <row r="474" spans="1:7" ht="19.5" x14ac:dyDescent="0.25">
      <c r="A474" s="20" t="s">
        <v>32</v>
      </c>
      <c r="B474" s="20" t="s">
        <v>27</v>
      </c>
      <c r="C474" s="20" t="s">
        <v>28</v>
      </c>
      <c r="D474" s="20" t="s">
        <v>7</v>
      </c>
      <c r="E474" s="20" t="str">
        <f>TEXT(Attendance_Data[[#This Row],[Date]], "mmm")</f>
        <v>May</v>
      </c>
      <c r="F474" s="20" t="str">
        <f>TEXT(Attendance_Data[[#This Row],[Date]], "dddd")</f>
        <v>Tuesday</v>
      </c>
      <c r="G474" s="20">
        <f t="shared" si="7"/>
        <v>1</v>
      </c>
    </row>
    <row r="475" spans="1:7" ht="19.5" x14ac:dyDescent="0.25">
      <c r="A475" s="20" t="s">
        <v>42</v>
      </c>
      <c r="B475" s="20" t="s">
        <v>27</v>
      </c>
      <c r="C475" s="20" t="s">
        <v>28</v>
      </c>
      <c r="D475" s="20" t="s">
        <v>7</v>
      </c>
      <c r="E475" s="20" t="str">
        <f>TEXT(Attendance_Data[[#This Row],[Date]], "mmm")</f>
        <v>May</v>
      </c>
      <c r="F475" s="20" t="str">
        <f>TEXT(Attendance_Data[[#This Row],[Date]], "dddd")</f>
        <v>Tuesday</v>
      </c>
      <c r="G475" s="20">
        <f t="shared" si="7"/>
        <v>1</v>
      </c>
    </row>
    <row r="476" spans="1:7" ht="19.5" x14ac:dyDescent="0.25">
      <c r="A476" s="20" t="s">
        <v>18</v>
      </c>
      <c r="B476" s="20" t="s">
        <v>23</v>
      </c>
      <c r="C476" s="20" t="s">
        <v>24</v>
      </c>
      <c r="D476" s="20" t="s">
        <v>7</v>
      </c>
      <c r="E476" s="20" t="str">
        <f>TEXT(Attendance_Data[[#This Row],[Date]], "mmm")</f>
        <v>May</v>
      </c>
      <c r="F476" s="20" t="str">
        <f>TEXT(Attendance_Data[[#This Row],[Date]], "dddd")</f>
        <v>Tuesday</v>
      </c>
      <c r="G476" s="20">
        <f t="shared" si="7"/>
        <v>1</v>
      </c>
    </row>
    <row r="477" spans="1:7" ht="19.5" x14ac:dyDescent="0.25">
      <c r="A477" s="20" t="s">
        <v>45</v>
      </c>
      <c r="B477" s="20" t="s">
        <v>5</v>
      </c>
      <c r="C477" s="20" t="s">
        <v>6</v>
      </c>
      <c r="D477" s="20" t="s">
        <v>20</v>
      </c>
      <c r="E477" s="20" t="str">
        <f>TEXT(Attendance_Data[[#This Row],[Date]], "mmm")</f>
        <v>May</v>
      </c>
      <c r="F477" s="20" t="str">
        <f>TEXT(Attendance_Data[[#This Row],[Date]], "dddd")</f>
        <v>Monday</v>
      </c>
      <c r="G477" s="20">
        <f t="shared" si="7"/>
        <v>0</v>
      </c>
    </row>
    <row r="478" spans="1:7" ht="19.5" x14ac:dyDescent="0.25">
      <c r="A478" s="20" t="s">
        <v>12</v>
      </c>
      <c r="B478" s="20" t="s">
        <v>16</v>
      </c>
      <c r="C478" s="20" t="s">
        <v>14</v>
      </c>
      <c r="D478" s="20" t="s">
        <v>7</v>
      </c>
      <c r="E478" s="20" t="str">
        <f>TEXT(Attendance_Data[[#This Row],[Date]], "mmm")</f>
        <v>May</v>
      </c>
      <c r="F478" s="20" t="str">
        <f>TEXT(Attendance_Data[[#This Row],[Date]], "dddd")</f>
        <v>Monday</v>
      </c>
      <c r="G478" s="20">
        <f t="shared" si="7"/>
        <v>1</v>
      </c>
    </row>
    <row r="479" spans="1:7" ht="19.5" x14ac:dyDescent="0.25">
      <c r="A479" s="20" t="s">
        <v>32</v>
      </c>
      <c r="B479" s="20" t="s">
        <v>30</v>
      </c>
      <c r="C479" s="20" t="s">
        <v>24</v>
      </c>
      <c r="D479" s="20" t="s">
        <v>3</v>
      </c>
      <c r="E479" s="20" t="str">
        <f>TEXT(Attendance_Data[[#This Row],[Date]], "mmm")</f>
        <v>May</v>
      </c>
      <c r="F479" s="20" t="str">
        <f>TEXT(Attendance_Data[[#This Row],[Date]], "dddd")</f>
        <v>Tuesday</v>
      </c>
      <c r="G479" s="20">
        <f t="shared" si="7"/>
        <v>1</v>
      </c>
    </row>
    <row r="480" spans="1:7" ht="19.5" x14ac:dyDescent="0.25">
      <c r="A480" s="20" t="s">
        <v>41</v>
      </c>
      <c r="B480" s="20" t="s">
        <v>1</v>
      </c>
      <c r="C480" s="20" t="s">
        <v>2</v>
      </c>
      <c r="D480" s="20" t="s">
        <v>7</v>
      </c>
      <c r="E480" s="20" t="str">
        <f>TEXT(Attendance_Data[[#This Row],[Date]], "mmm")</f>
        <v>May</v>
      </c>
      <c r="F480" s="20" t="str">
        <f>TEXT(Attendance_Data[[#This Row],[Date]], "dddd")</f>
        <v>Monday</v>
      </c>
      <c r="G480" s="20">
        <f t="shared" si="7"/>
        <v>1</v>
      </c>
    </row>
    <row r="481" spans="1:7" ht="19.5" x14ac:dyDescent="0.25">
      <c r="A481" s="20" t="s">
        <v>36</v>
      </c>
      <c r="B481" s="20" t="s">
        <v>11</v>
      </c>
      <c r="C481" s="20" t="s">
        <v>6</v>
      </c>
      <c r="D481" s="20" t="s">
        <v>3</v>
      </c>
      <c r="E481" s="20" t="str">
        <f>TEXT(Attendance_Data[[#This Row],[Date]], "mmm")</f>
        <v>May</v>
      </c>
      <c r="F481" s="20" t="str">
        <f>TEXT(Attendance_Data[[#This Row],[Date]], "dddd")</f>
        <v>Saturday</v>
      </c>
      <c r="G481" s="20">
        <f t="shared" si="7"/>
        <v>1</v>
      </c>
    </row>
    <row r="482" spans="1:7" ht="19.5" x14ac:dyDescent="0.25">
      <c r="A482" s="20" t="s">
        <v>40</v>
      </c>
      <c r="B482" s="20" t="s">
        <v>1</v>
      </c>
      <c r="C482" s="20" t="s">
        <v>2</v>
      </c>
      <c r="D482" s="20" t="s">
        <v>7</v>
      </c>
      <c r="E482" s="20" t="str">
        <f>TEXT(Attendance_Data[[#This Row],[Date]], "mmm")</f>
        <v>May</v>
      </c>
      <c r="F482" s="20" t="str">
        <f>TEXT(Attendance_Data[[#This Row],[Date]], "dddd")</f>
        <v>Friday</v>
      </c>
      <c r="G482" s="20">
        <f t="shared" si="7"/>
        <v>1</v>
      </c>
    </row>
    <row r="483" spans="1:7" ht="19.5" x14ac:dyDescent="0.25">
      <c r="A483" s="20" t="s">
        <v>29</v>
      </c>
      <c r="B483" s="20" t="s">
        <v>43</v>
      </c>
      <c r="C483" s="20" t="s">
        <v>28</v>
      </c>
      <c r="D483" s="20" t="s">
        <v>3</v>
      </c>
      <c r="E483" s="20" t="str">
        <f>TEXT(Attendance_Data[[#This Row],[Date]], "mmm")</f>
        <v>May</v>
      </c>
      <c r="F483" s="20" t="str">
        <f>TEXT(Attendance_Data[[#This Row],[Date]], "dddd")</f>
        <v>Monday</v>
      </c>
      <c r="G483" s="20">
        <f t="shared" si="7"/>
        <v>1</v>
      </c>
    </row>
    <row r="484" spans="1:7" ht="19.5" x14ac:dyDescent="0.25">
      <c r="A484" s="20" t="s">
        <v>15</v>
      </c>
      <c r="B484" s="20" t="s">
        <v>23</v>
      </c>
      <c r="C484" s="20" t="s">
        <v>24</v>
      </c>
      <c r="D484" s="20" t="s">
        <v>7</v>
      </c>
      <c r="E484" s="20" t="str">
        <f>TEXT(Attendance_Data[[#This Row],[Date]], "mmm")</f>
        <v>May</v>
      </c>
      <c r="F484" s="20" t="str">
        <f>TEXT(Attendance_Data[[#This Row],[Date]], "dddd")</f>
        <v>Sunday</v>
      </c>
      <c r="G484" s="20">
        <f t="shared" si="7"/>
        <v>1</v>
      </c>
    </row>
    <row r="485" spans="1:7" ht="19.5" x14ac:dyDescent="0.25">
      <c r="A485" s="20" t="s">
        <v>32</v>
      </c>
      <c r="B485" s="20" t="s">
        <v>16</v>
      </c>
      <c r="C485" s="20" t="s">
        <v>14</v>
      </c>
      <c r="D485" s="20" t="s">
        <v>3</v>
      </c>
      <c r="E485" s="20" t="str">
        <f>TEXT(Attendance_Data[[#This Row],[Date]], "mmm")</f>
        <v>May</v>
      </c>
      <c r="F485" s="20" t="str">
        <f>TEXT(Attendance_Data[[#This Row],[Date]], "dddd")</f>
        <v>Tuesday</v>
      </c>
      <c r="G485" s="20">
        <f t="shared" si="7"/>
        <v>1</v>
      </c>
    </row>
    <row r="486" spans="1:7" ht="19.5" x14ac:dyDescent="0.25">
      <c r="A486" s="20" t="s">
        <v>45</v>
      </c>
      <c r="B486" s="20" t="s">
        <v>9</v>
      </c>
      <c r="C486" s="20" t="s">
        <v>2</v>
      </c>
      <c r="D486" s="20" t="s">
        <v>3</v>
      </c>
      <c r="E486" s="20" t="str">
        <f>TEXT(Attendance_Data[[#This Row],[Date]], "mmm")</f>
        <v>May</v>
      </c>
      <c r="F486" s="20" t="str">
        <f>TEXT(Attendance_Data[[#This Row],[Date]], "dddd")</f>
        <v>Monday</v>
      </c>
      <c r="G486" s="20">
        <f t="shared" si="7"/>
        <v>1</v>
      </c>
    </row>
    <row r="487" spans="1:7" ht="19.5" x14ac:dyDescent="0.25">
      <c r="A487" s="20" t="s">
        <v>8</v>
      </c>
      <c r="B487" s="20" t="s">
        <v>27</v>
      </c>
      <c r="C487" s="20" t="s">
        <v>28</v>
      </c>
      <c r="D487" s="20" t="s">
        <v>7</v>
      </c>
      <c r="E487" s="20" t="str">
        <f>TEXT(Attendance_Data[[#This Row],[Date]], "mmm")</f>
        <v>May</v>
      </c>
      <c r="F487" s="20" t="str">
        <f>TEXT(Attendance_Data[[#This Row],[Date]], "dddd")</f>
        <v>Wednesday</v>
      </c>
      <c r="G487" s="20">
        <f t="shared" si="7"/>
        <v>1</v>
      </c>
    </row>
    <row r="488" spans="1:7" ht="19.5" x14ac:dyDescent="0.25">
      <c r="A488" s="20" t="s">
        <v>21</v>
      </c>
      <c r="B488" s="20" t="s">
        <v>5</v>
      </c>
      <c r="C488" s="20" t="s">
        <v>6</v>
      </c>
      <c r="D488" s="20" t="s">
        <v>7</v>
      </c>
      <c r="E488" s="20" t="str">
        <f>TEXT(Attendance_Data[[#This Row],[Date]], "mmm")</f>
        <v>May</v>
      </c>
      <c r="F488" s="20" t="str">
        <f>TEXT(Attendance_Data[[#This Row],[Date]], "dddd")</f>
        <v>Friday</v>
      </c>
      <c r="G488" s="20">
        <f t="shared" si="7"/>
        <v>1</v>
      </c>
    </row>
    <row r="489" spans="1:7" ht="19.5" x14ac:dyDescent="0.25">
      <c r="A489" s="20" t="s">
        <v>32</v>
      </c>
      <c r="B489" s="20" t="s">
        <v>23</v>
      </c>
      <c r="C489" s="20" t="s">
        <v>24</v>
      </c>
      <c r="D489" s="20" t="s">
        <v>7</v>
      </c>
      <c r="E489" s="20" t="str">
        <f>TEXT(Attendance_Data[[#This Row],[Date]], "mmm")</f>
        <v>May</v>
      </c>
      <c r="F489" s="20" t="str">
        <f>TEXT(Attendance_Data[[#This Row],[Date]], "dddd")</f>
        <v>Tuesday</v>
      </c>
      <c r="G489" s="20">
        <f t="shared" si="7"/>
        <v>1</v>
      </c>
    </row>
    <row r="490" spans="1:7" ht="19.5" x14ac:dyDescent="0.25">
      <c r="A490" s="20" t="s">
        <v>36</v>
      </c>
      <c r="B490" s="20" t="s">
        <v>23</v>
      </c>
      <c r="C490" s="20" t="s">
        <v>24</v>
      </c>
      <c r="D490" s="20" t="s">
        <v>3</v>
      </c>
      <c r="E490" s="20" t="str">
        <f>TEXT(Attendance_Data[[#This Row],[Date]], "mmm")</f>
        <v>May</v>
      </c>
      <c r="F490" s="20" t="str">
        <f>TEXT(Attendance_Data[[#This Row],[Date]], "dddd")</f>
        <v>Saturday</v>
      </c>
      <c r="G490" s="20">
        <f t="shared" si="7"/>
        <v>1</v>
      </c>
    </row>
    <row r="491" spans="1:7" ht="19.5" x14ac:dyDescent="0.25">
      <c r="A491" s="20" t="s">
        <v>12</v>
      </c>
      <c r="B491" s="20" t="s">
        <v>11</v>
      </c>
      <c r="C491" s="20" t="s">
        <v>6</v>
      </c>
      <c r="D491" s="20" t="s">
        <v>7</v>
      </c>
      <c r="E491" s="20" t="str">
        <f>TEXT(Attendance_Data[[#This Row],[Date]], "mmm")</f>
        <v>May</v>
      </c>
      <c r="F491" s="20" t="str">
        <f>TEXT(Attendance_Data[[#This Row],[Date]], "dddd")</f>
        <v>Monday</v>
      </c>
      <c r="G491" s="20">
        <f t="shared" si="7"/>
        <v>1</v>
      </c>
    </row>
    <row r="492" spans="1:7" ht="19.5" x14ac:dyDescent="0.25">
      <c r="A492" s="20" t="s">
        <v>8</v>
      </c>
      <c r="B492" s="20" t="s">
        <v>43</v>
      </c>
      <c r="C492" s="20" t="s">
        <v>28</v>
      </c>
      <c r="D492" s="20" t="s">
        <v>7</v>
      </c>
      <c r="E492" s="20" t="str">
        <f>TEXT(Attendance_Data[[#This Row],[Date]], "mmm")</f>
        <v>May</v>
      </c>
      <c r="F492" s="20" t="str">
        <f>TEXT(Attendance_Data[[#This Row],[Date]], "dddd")</f>
        <v>Wednesday</v>
      </c>
      <c r="G492" s="20">
        <f t="shared" si="7"/>
        <v>1</v>
      </c>
    </row>
    <row r="493" spans="1:7" ht="19.5" x14ac:dyDescent="0.25">
      <c r="A493" s="20" t="s">
        <v>32</v>
      </c>
      <c r="B493" s="20" t="s">
        <v>9</v>
      </c>
      <c r="C493" s="20" t="s">
        <v>2</v>
      </c>
      <c r="D493" s="20" t="s">
        <v>3</v>
      </c>
      <c r="E493" s="20" t="str">
        <f>TEXT(Attendance_Data[[#This Row],[Date]], "mmm")</f>
        <v>May</v>
      </c>
      <c r="F493" s="20" t="str">
        <f>TEXT(Attendance_Data[[#This Row],[Date]], "dddd")</f>
        <v>Tuesday</v>
      </c>
      <c r="G493" s="20">
        <f t="shared" si="7"/>
        <v>1</v>
      </c>
    </row>
    <row r="494" spans="1:7" ht="19.5" x14ac:dyDescent="0.25">
      <c r="A494" s="20" t="s">
        <v>31</v>
      </c>
      <c r="B494" s="20" t="s">
        <v>13</v>
      </c>
      <c r="C494" s="20" t="s">
        <v>14</v>
      </c>
      <c r="D494" s="20" t="s">
        <v>7</v>
      </c>
      <c r="E494" s="20" t="str">
        <f>TEXT(Attendance_Data[[#This Row],[Date]], "mmm")</f>
        <v>May</v>
      </c>
      <c r="F494" s="20" t="str">
        <f>TEXT(Attendance_Data[[#This Row],[Date]], "dddd")</f>
        <v>Tuesday</v>
      </c>
      <c r="G494" s="20">
        <f t="shared" si="7"/>
        <v>1</v>
      </c>
    </row>
    <row r="495" spans="1:7" ht="19.5" x14ac:dyDescent="0.25">
      <c r="A495" s="20" t="s">
        <v>46</v>
      </c>
      <c r="B495" s="20" t="s">
        <v>43</v>
      </c>
      <c r="C495" s="20" t="s">
        <v>28</v>
      </c>
      <c r="D495" s="20" t="s">
        <v>7</v>
      </c>
      <c r="E495" s="20" t="str">
        <f>TEXT(Attendance_Data[[#This Row],[Date]], "mmm")</f>
        <v>May</v>
      </c>
      <c r="F495" s="20" t="str">
        <f>TEXT(Attendance_Data[[#This Row],[Date]], "dddd")</f>
        <v>Saturday</v>
      </c>
      <c r="G495" s="20">
        <f t="shared" si="7"/>
        <v>1</v>
      </c>
    </row>
    <row r="496" spans="1:7" ht="19.5" x14ac:dyDescent="0.25">
      <c r="A496" s="20" t="s">
        <v>29</v>
      </c>
      <c r="B496" s="20" t="s">
        <v>23</v>
      </c>
      <c r="C496" s="20" t="s">
        <v>24</v>
      </c>
      <c r="D496" s="20" t="s">
        <v>7</v>
      </c>
      <c r="E496" s="20" t="str">
        <f>TEXT(Attendance_Data[[#This Row],[Date]], "mmm")</f>
        <v>May</v>
      </c>
      <c r="F496" s="20" t="str">
        <f>TEXT(Attendance_Data[[#This Row],[Date]], "dddd")</f>
        <v>Monday</v>
      </c>
      <c r="G496" s="20">
        <f t="shared" si="7"/>
        <v>1</v>
      </c>
    </row>
    <row r="497" spans="1:7" ht="19.5" x14ac:dyDescent="0.25">
      <c r="A497" s="20" t="s">
        <v>34</v>
      </c>
      <c r="B497" s="20" t="s">
        <v>27</v>
      </c>
      <c r="C497" s="20" t="s">
        <v>28</v>
      </c>
      <c r="D497" s="20" t="s">
        <v>7</v>
      </c>
      <c r="E497" s="20" t="str">
        <f>TEXT(Attendance_Data[[#This Row],[Date]], "mmm")</f>
        <v>May</v>
      </c>
      <c r="F497" s="20" t="str">
        <f>TEXT(Attendance_Data[[#This Row],[Date]], "dddd")</f>
        <v>Saturday</v>
      </c>
      <c r="G497" s="20">
        <f t="shared" si="7"/>
        <v>1</v>
      </c>
    </row>
    <row r="498" spans="1:7" ht="19.5" x14ac:dyDescent="0.25">
      <c r="A498" s="20" t="s">
        <v>8</v>
      </c>
      <c r="B498" s="20" t="s">
        <v>16</v>
      </c>
      <c r="C498" s="20" t="s">
        <v>14</v>
      </c>
      <c r="D498" s="20" t="s">
        <v>37</v>
      </c>
      <c r="E498" s="20" t="str">
        <f>TEXT(Attendance_Data[[#This Row],[Date]], "mmm")</f>
        <v>May</v>
      </c>
      <c r="F498" s="20" t="str">
        <f>TEXT(Attendance_Data[[#This Row],[Date]], "dddd")</f>
        <v>Wednesday</v>
      </c>
      <c r="G498" s="20">
        <f t="shared" si="7"/>
        <v>0</v>
      </c>
    </row>
    <row r="499" spans="1:7" ht="19.5" x14ac:dyDescent="0.25">
      <c r="A499" s="20" t="s">
        <v>8</v>
      </c>
      <c r="B499" s="20" t="s">
        <v>5</v>
      </c>
      <c r="C499" s="20" t="s">
        <v>6</v>
      </c>
      <c r="D499" s="20" t="s">
        <v>7</v>
      </c>
      <c r="E499" s="20" t="str">
        <f>TEXT(Attendance_Data[[#This Row],[Date]], "mmm")</f>
        <v>May</v>
      </c>
      <c r="F499" s="20" t="str">
        <f>TEXT(Attendance_Data[[#This Row],[Date]], "dddd")</f>
        <v>Wednesday</v>
      </c>
      <c r="G499" s="20">
        <f t="shared" si="7"/>
        <v>1</v>
      </c>
    </row>
    <row r="500" spans="1:7" ht="19.5" x14ac:dyDescent="0.25">
      <c r="A500" s="20" t="s">
        <v>4</v>
      </c>
      <c r="B500" s="20" t="s">
        <v>23</v>
      </c>
      <c r="C500" s="20" t="s">
        <v>24</v>
      </c>
      <c r="D500" s="20" t="s">
        <v>7</v>
      </c>
      <c r="E500" s="20" t="str">
        <f>TEXT(Attendance_Data[[#This Row],[Date]], "mmm")</f>
        <v>May</v>
      </c>
      <c r="F500" s="20" t="str">
        <f>TEXT(Attendance_Data[[#This Row],[Date]], "dddd")</f>
        <v>Thursday</v>
      </c>
      <c r="G500" s="20">
        <f t="shared" si="7"/>
        <v>1</v>
      </c>
    </row>
    <row r="501" spans="1:7" ht="19.5" x14ac:dyDescent="0.25">
      <c r="A501" s="20" t="s">
        <v>25</v>
      </c>
      <c r="B501" s="20" t="s">
        <v>27</v>
      </c>
      <c r="C501" s="20" t="s">
        <v>28</v>
      </c>
      <c r="D501" s="20" t="s">
        <v>7</v>
      </c>
      <c r="E501" s="20" t="str">
        <f>TEXT(Attendance_Data[[#This Row],[Date]], "mmm")</f>
        <v>May</v>
      </c>
      <c r="F501" s="20" t="str">
        <f>TEXT(Attendance_Data[[#This Row],[Date]], "dddd")</f>
        <v>Sunday</v>
      </c>
      <c r="G501" s="20">
        <f t="shared" si="7"/>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E7A3A-9AC5-4A57-B99B-97BA0D77CAD2}">
  <dimension ref="A1:B35"/>
  <sheetViews>
    <sheetView workbookViewId="0">
      <selection activeCell="D3" sqref="D3"/>
    </sheetView>
  </sheetViews>
  <sheetFormatPr defaultRowHeight="15" x14ac:dyDescent="0.25"/>
  <cols>
    <col min="1" max="1" width="13.140625" style="1" bestFit="1" customWidth="1"/>
    <col min="2" max="2" width="21.5703125" style="1" customWidth="1"/>
    <col min="3" max="16384" width="9.140625" style="1"/>
  </cols>
  <sheetData>
    <row r="1" spans="1:2" ht="19.5" x14ac:dyDescent="0.25">
      <c r="A1" s="8" t="s">
        <v>53</v>
      </c>
      <c r="B1" s="9" t="s">
        <v>3</v>
      </c>
    </row>
    <row r="2" spans="1:2" ht="19.5" x14ac:dyDescent="0.25">
      <c r="A2" s="9"/>
      <c r="B2" s="9"/>
    </row>
    <row r="3" spans="1:2" ht="19.5" x14ac:dyDescent="0.25">
      <c r="A3" s="8" t="s">
        <v>57</v>
      </c>
      <c r="B3" s="9" t="s">
        <v>59</v>
      </c>
    </row>
    <row r="4" spans="1:2" ht="19.5" x14ac:dyDescent="0.25">
      <c r="A4" s="10" t="s">
        <v>32</v>
      </c>
      <c r="B4" s="9">
        <v>7</v>
      </c>
    </row>
    <row r="5" spans="1:2" ht="19.5" x14ac:dyDescent="0.25">
      <c r="A5" s="10" t="s">
        <v>36</v>
      </c>
      <c r="B5" s="9">
        <v>5</v>
      </c>
    </row>
    <row r="6" spans="1:2" ht="19.5" x14ac:dyDescent="0.25">
      <c r="A6" s="10" t="s">
        <v>41</v>
      </c>
      <c r="B6" s="9">
        <v>5</v>
      </c>
    </row>
    <row r="7" spans="1:2" ht="19.5" x14ac:dyDescent="0.25">
      <c r="A7" s="10" t="s">
        <v>33</v>
      </c>
      <c r="B7" s="9">
        <v>5</v>
      </c>
    </row>
    <row r="8" spans="1:2" ht="19.5" x14ac:dyDescent="0.25">
      <c r="A8" s="10" t="s">
        <v>25</v>
      </c>
      <c r="B8" s="9">
        <v>4</v>
      </c>
    </row>
    <row r="9" spans="1:2" ht="19.5" x14ac:dyDescent="0.25">
      <c r="A9" s="10" t="s">
        <v>18</v>
      </c>
      <c r="B9" s="9">
        <v>4</v>
      </c>
    </row>
    <row r="10" spans="1:2" ht="19.5" x14ac:dyDescent="0.25">
      <c r="A10" s="10" t="s">
        <v>46</v>
      </c>
      <c r="B10" s="9">
        <v>4</v>
      </c>
    </row>
    <row r="11" spans="1:2" ht="19.5" x14ac:dyDescent="0.25">
      <c r="A11" s="10" t="s">
        <v>0</v>
      </c>
      <c r="B11" s="9">
        <v>4</v>
      </c>
    </row>
    <row r="12" spans="1:2" ht="19.5" x14ac:dyDescent="0.25">
      <c r="A12" s="10" t="s">
        <v>44</v>
      </c>
      <c r="B12" s="9">
        <v>4</v>
      </c>
    </row>
    <row r="13" spans="1:2" ht="19.5" x14ac:dyDescent="0.25">
      <c r="A13" s="10" t="s">
        <v>31</v>
      </c>
      <c r="B13" s="9">
        <v>4</v>
      </c>
    </row>
    <row r="14" spans="1:2" ht="19.5" x14ac:dyDescent="0.25">
      <c r="A14" s="10" t="s">
        <v>29</v>
      </c>
      <c r="B14" s="9">
        <v>3</v>
      </c>
    </row>
    <row r="15" spans="1:2" ht="19.5" x14ac:dyDescent="0.25">
      <c r="A15" s="10" t="s">
        <v>21</v>
      </c>
      <c r="B15" s="9">
        <v>3</v>
      </c>
    </row>
    <row r="16" spans="1:2" ht="19.5" x14ac:dyDescent="0.25">
      <c r="A16" s="10" t="s">
        <v>15</v>
      </c>
      <c r="B16" s="9">
        <v>3</v>
      </c>
    </row>
    <row r="17" spans="1:2" ht="19.5" x14ac:dyDescent="0.25">
      <c r="A17" s="10" t="s">
        <v>26</v>
      </c>
      <c r="B17" s="9">
        <v>3</v>
      </c>
    </row>
    <row r="18" spans="1:2" ht="19.5" x14ac:dyDescent="0.25">
      <c r="A18" s="10" t="s">
        <v>48</v>
      </c>
      <c r="B18" s="9">
        <v>2</v>
      </c>
    </row>
    <row r="19" spans="1:2" ht="19.5" x14ac:dyDescent="0.25">
      <c r="A19" s="10" t="s">
        <v>22</v>
      </c>
      <c r="B19" s="9">
        <v>2</v>
      </c>
    </row>
    <row r="20" spans="1:2" ht="19.5" x14ac:dyDescent="0.25">
      <c r="A20" s="10" t="s">
        <v>8</v>
      </c>
      <c r="B20" s="9">
        <v>2</v>
      </c>
    </row>
    <row r="21" spans="1:2" ht="19.5" x14ac:dyDescent="0.25">
      <c r="A21" s="10" t="s">
        <v>38</v>
      </c>
      <c r="B21" s="9">
        <v>2</v>
      </c>
    </row>
    <row r="22" spans="1:2" ht="19.5" x14ac:dyDescent="0.25">
      <c r="A22" s="10" t="s">
        <v>19</v>
      </c>
      <c r="B22" s="9">
        <v>2</v>
      </c>
    </row>
    <row r="23" spans="1:2" ht="19.5" x14ac:dyDescent="0.25">
      <c r="A23" s="10" t="s">
        <v>10</v>
      </c>
      <c r="B23" s="9">
        <v>2</v>
      </c>
    </row>
    <row r="24" spans="1:2" ht="19.5" x14ac:dyDescent="0.25">
      <c r="A24" s="10" t="s">
        <v>12</v>
      </c>
      <c r="B24" s="9">
        <v>2</v>
      </c>
    </row>
    <row r="25" spans="1:2" ht="19.5" x14ac:dyDescent="0.25">
      <c r="A25" s="10" t="s">
        <v>42</v>
      </c>
      <c r="B25" s="9">
        <v>2</v>
      </c>
    </row>
    <row r="26" spans="1:2" ht="19.5" x14ac:dyDescent="0.25">
      <c r="A26" s="10" t="s">
        <v>35</v>
      </c>
      <c r="B26" s="9">
        <v>2</v>
      </c>
    </row>
    <row r="27" spans="1:2" ht="19.5" x14ac:dyDescent="0.25">
      <c r="A27" s="10" t="s">
        <v>39</v>
      </c>
      <c r="B27" s="9">
        <v>2</v>
      </c>
    </row>
    <row r="28" spans="1:2" ht="19.5" x14ac:dyDescent="0.25">
      <c r="A28" s="10" t="s">
        <v>40</v>
      </c>
      <c r="B28" s="9">
        <v>1</v>
      </c>
    </row>
    <row r="29" spans="1:2" ht="19.5" x14ac:dyDescent="0.25">
      <c r="A29" s="10" t="s">
        <v>17</v>
      </c>
      <c r="B29" s="9">
        <v>1</v>
      </c>
    </row>
    <row r="30" spans="1:2" ht="19.5" x14ac:dyDescent="0.25">
      <c r="A30" s="10" t="s">
        <v>47</v>
      </c>
      <c r="B30" s="9">
        <v>1</v>
      </c>
    </row>
    <row r="31" spans="1:2" ht="19.5" x14ac:dyDescent="0.25">
      <c r="A31" s="10" t="s">
        <v>45</v>
      </c>
      <c r="B31" s="9">
        <v>1</v>
      </c>
    </row>
    <row r="32" spans="1:2" ht="19.5" x14ac:dyDescent="0.25">
      <c r="A32" s="10" t="s">
        <v>49</v>
      </c>
      <c r="B32" s="9">
        <v>1</v>
      </c>
    </row>
    <row r="33" spans="1:2" ht="19.5" x14ac:dyDescent="0.25">
      <c r="A33" s="10" t="s">
        <v>4</v>
      </c>
      <c r="B33" s="9">
        <v>1</v>
      </c>
    </row>
    <row r="34" spans="1:2" ht="19.5" x14ac:dyDescent="0.25">
      <c r="A34" s="10" t="s">
        <v>58</v>
      </c>
      <c r="B34" s="9">
        <v>84</v>
      </c>
    </row>
    <row r="35" spans="1:2" x14ac:dyDescent="0.25">
      <c r="A35"/>
      <c r="B35"/>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21181-D7B7-461D-BD86-29BB8EAD2E38}">
  <dimension ref="A2:F35"/>
  <sheetViews>
    <sheetView workbookViewId="0">
      <selection activeCell="G2" sqref="G2"/>
    </sheetView>
  </sheetViews>
  <sheetFormatPr defaultRowHeight="15" x14ac:dyDescent="0.25"/>
  <cols>
    <col min="1" max="1" width="20.28515625" style="1" bestFit="1" customWidth="1"/>
    <col min="2" max="2" width="22.140625" style="1" bestFit="1" customWidth="1"/>
    <col min="3" max="3" width="15.28515625" style="1" bestFit="1" customWidth="1"/>
    <col min="4" max="4" width="10.85546875" style="1" bestFit="1" customWidth="1"/>
    <col min="5" max="6" width="15.28515625" style="1" bestFit="1" customWidth="1"/>
    <col min="7" max="31" width="16.28515625" style="1" bestFit="1" customWidth="1"/>
    <col min="32" max="32" width="11.28515625" style="1" bestFit="1" customWidth="1"/>
    <col min="33" max="16384" width="9.140625" style="1"/>
  </cols>
  <sheetData>
    <row r="2" spans="1:6" ht="18" x14ac:dyDescent="0.25">
      <c r="A2" s="2" t="s">
        <v>59</v>
      </c>
      <c r="B2" s="2" t="s">
        <v>60</v>
      </c>
      <c r="C2" s="3"/>
      <c r="D2"/>
      <c r="E2"/>
      <c r="F2"/>
    </row>
    <row r="3" spans="1:6" ht="18" x14ac:dyDescent="0.25">
      <c r="A3" s="2" t="s">
        <v>57</v>
      </c>
      <c r="B3" s="3" t="s">
        <v>3</v>
      </c>
      <c r="C3" s="3" t="s">
        <v>58</v>
      </c>
      <c r="D3"/>
      <c r="E3"/>
      <c r="F3"/>
    </row>
    <row r="4" spans="1:6" ht="18" x14ac:dyDescent="0.25">
      <c r="A4" s="13" t="s">
        <v>38</v>
      </c>
      <c r="B4" s="11">
        <v>2</v>
      </c>
      <c r="C4" s="11">
        <v>2</v>
      </c>
      <c r="D4"/>
      <c r="E4"/>
      <c r="F4"/>
    </row>
    <row r="5" spans="1:6" ht="18" x14ac:dyDescent="0.25">
      <c r="A5" s="14" t="s">
        <v>40</v>
      </c>
      <c r="B5" s="15">
        <v>1</v>
      </c>
      <c r="C5" s="15">
        <v>1</v>
      </c>
      <c r="D5"/>
      <c r="E5"/>
      <c r="F5"/>
    </row>
    <row r="6" spans="1:6" ht="18" x14ac:dyDescent="0.25">
      <c r="A6" s="14" t="s">
        <v>36</v>
      </c>
      <c r="B6" s="15">
        <v>5</v>
      </c>
      <c r="C6" s="15">
        <v>5</v>
      </c>
      <c r="D6"/>
      <c r="E6"/>
      <c r="F6"/>
    </row>
    <row r="7" spans="1:6" ht="18" x14ac:dyDescent="0.25">
      <c r="A7" s="14" t="s">
        <v>48</v>
      </c>
      <c r="B7" s="15">
        <v>2</v>
      </c>
      <c r="C7" s="15">
        <v>2</v>
      </c>
      <c r="D7"/>
      <c r="E7"/>
      <c r="F7"/>
    </row>
    <row r="8" spans="1:6" ht="18" x14ac:dyDescent="0.25">
      <c r="A8" s="14" t="s">
        <v>12</v>
      </c>
      <c r="B8" s="15">
        <v>2</v>
      </c>
      <c r="C8" s="15">
        <v>2</v>
      </c>
      <c r="D8"/>
      <c r="E8"/>
      <c r="F8"/>
    </row>
    <row r="9" spans="1:6" ht="18" x14ac:dyDescent="0.25">
      <c r="A9" s="14" t="s">
        <v>32</v>
      </c>
      <c r="B9" s="15">
        <v>7</v>
      </c>
      <c r="C9" s="15">
        <v>7</v>
      </c>
      <c r="D9"/>
      <c r="E9"/>
      <c r="F9"/>
    </row>
    <row r="10" spans="1:6" ht="18" x14ac:dyDescent="0.25">
      <c r="A10" s="14" t="s">
        <v>0</v>
      </c>
      <c r="B10" s="15">
        <v>4</v>
      </c>
      <c r="C10" s="15">
        <v>4</v>
      </c>
      <c r="D10"/>
      <c r="E10"/>
      <c r="F10"/>
    </row>
    <row r="11" spans="1:6" ht="18" x14ac:dyDescent="0.25">
      <c r="A11" s="14" t="s">
        <v>4</v>
      </c>
      <c r="B11" s="15">
        <v>1</v>
      </c>
      <c r="C11" s="15">
        <v>1</v>
      </c>
      <c r="D11"/>
      <c r="E11"/>
      <c r="F11"/>
    </row>
    <row r="12" spans="1:6" ht="18" x14ac:dyDescent="0.25">
      <c r="A12" s="14" t="s">
        <v>21</v>
      </c>
      <c r="B12" s="15">
        <v>3</v>
      </c>
      <c r="C12" s="15">
        <v>3</v>
      </c>
      <c r="D12"/>
      <c r="E12"/>
      <c r="F12"/>
    </row>
    <row r="13" spans="1:6" ht="18" x14ac:dyDescent="0.25">
      <c r="A13" s="14" t="s">
        <v>44</v>
      </c>
      <c r="B13" s="15">
        <v>4</v>
      </c>
      <c r="C13" s="15">
        <v>4</v>
      </c>
      <c r="D13"/>
      <c r="E13"/>
      <c r="F13"/>
    </row>
    <row r="14" spans="1:6" ht="18" x14ac:dyDescent="0.25">
      <c r="A14" s="14" t="s">
        <v>15</v>
      </c>
      <c r="B14" s="15">
        <v>3</v>
      </c>
      <c r="C14" s="15">
        <v>3</v>
      </c>
      <c r="D14"/>
      <c r="E14"/>
      <c r="F14"/>
    </row>
    <row r="15" spans="1:6" ht="18" x14ac:dyDescent="0.25">
      <c r="A15" s="14" t="s">
        <v>41</v>
      </c>
      <c r="B15" s="15">
        <v>5</v>
      </c>
      <c r="C15" s="15">
        <v>5</v>
      </c>
      <c r="D15"/>
      <c r="E15"/>
      <c r="F15"/>
    </row>
    <row r="16" spans="1:6" ht="18" x14ac:dyDescent="0.25">
      <c r="A16" s="14" t="s">
        <v>42</v>
      </c>
      <c r="B16" s="15">
        <v>2</v>
      </c>
      <c r="C16" s="15">
        <v>2</v>
      </c>
      <c r="D16"/>
      <c r="E16"/>
      <c r="F16"/>
    </row>
    <row r="17" spans="1:6" ht="18" x14ac:dyDescent="0.25">
      <c r="A17" s="14" t="s">
        <v>35</v>
      </c>
      <c r="B17" s="15">
        <v>2</v>
      </c>
      <c r="C17" s="15">
        <v>2</v>
      </c>
      <c r="D17"/>
      <c r="E17"/>
      <c r="F17"/>
    </row>
    <row r="18" spans="1:6" ht="18" x14ac:dyDescent="0.25">
      <c r="A18" s="14" t="s">
        <v>39</v>
      </c>
      <c r="B18" s="15">
        <v>2</v>
      </c>
      <c r="C18" s="15">
        <v>2</v>
      </c>
      <c r="D18"/>
      <c r="E18"/>
      <c r="F18"/>
    </row>
    <row r="19" spans="1:6" ht="18" x14ac:dyDescent="0.25">
      <c r="A19" s="14" t="s">
        <v>10</v>
      </c>
      <c r="B19" s="15">
        <v>2</v>
      </c>
      <c r="C19" s="15">
        <v>2</v>
      </c>
      <c r="D19"/>
      <c r="E19"/>
      <c r="F19"/>
    </row>
    <row r="20" spans="1:6" ht="18" x14ac:dyDescent="0.25">
      <c r="A20" s="14" t="s">
        <v>46</v>
      </c>
      <c r="B20" s="15">
        <v>4</v>
      </c>
      <c r="C20" s="15">
        <v>4</v>
      </c>
      <c r="D20"/>
      <c r="E20"/>
      <c r="F20"/>
    </row>
    <row r="21" spans="1:6" ht="18" x14ac:dyDescent="0.25">
      <c r="A21" s="14" t="s">
        <v>26</v>
      </c>
      <c r="B21" s="15">
        <v>3</v>
      </c>
      <c r="C21" s="15">
        <v>3</v>
      </c>
      <c r="D21"/>
      <c r="E21"/>
      <c r="F21"/>
    </row>
    <row r="22" spans="1:6" ht="18" x14ac:dyDescent="0.25">
      <c r="A22" s="14" t="s">
        <v>29</v>
      </c>
      <c r="B22" s="15">
        <v>3</v>
      </c>
      <c r="C22" s="15">
        <v>3</v>
      </c>
      <c r="D22"/>
      <c r="E22"/>
      <c r="F22"/>
    </row>
    <row r="23" spans="1:6" ht="18" x14ac:dyDescent="0.25">
      <c r="A23" s="14" t="s">
        <v>18</v>
      </c>
      <c r="B23" s="15">
        <v>4</v>
      </c>
      <c r="C23" s="15">
        <v>4</v>
      </c>
      <c r="D23"/>
      <c r="E23"/>
      <c r="F23"/>
    </row>
    <row r="24" spans="1:6" ht="18" x14ac:dyDescent="0.25">
      <c r="A24" s="14" t="s">
        <v>8</v>
      </c>
      <c r="B24" s="15">
        <v>2</v>
      </c>
      <c r="C24" s="15">
        <v>2</v>
      </c>
      <c r="D24"/>
      <c r="E24"/>
      <c r="F24"/>
    </row>
    <row r="25" spans="1:6" ht="18" x14ac:dyDescent="0.25">
      <c r="A25" s="14" t="s">
        <v>49</v>
      </c>
      <c r="B25" s="15">
        <v>1</v>
      </c>
      <c r="C25" s="15">
        <v>1</v>
      </c>
      <c r="D25"/>
      <c r="E25"/>
      <c r="F25"/>
    </row>
    <row r="26" spans="1:6" ht="18" x14ac:dyDescent="0.25">
      <c r="A26" s="14" t="s">
        <v>22</v>
      </c>
      <c r="B26" s="15">
        <v>2</v>
      </c>
      <c r="C26" s="15">
        <v>2</v>
      </c>
      <c r="D26"/>
      <c r="E26"/>
      <c r="F26"/>
    </row>
    <row r="27" spans="1:6" ht="18" x14ac:dyDescent="0.25">
      <c r="A27" s="14" t="s">
        <v>19</v>
      </c>
      <c r="B27" s="15">
        <v>2</v>
      </c>
      <c r="C27" s="15">
        <v>2</v>
      </c>
      <c r="D27"/>
      <c r="E27"/>
      <c r="F27"/>
    </row>
    <row r="28" spans="1:6" ht="18" x14ac:dyDescent="0.25">
      <c r="A28" s="14" t="s">
        <v>25</v>
      </c>
      <c r="B28" s="15">
        <v>4</v>
      </c>
      <c r="C28" s="15">
        <v>4</v>
      </c>
      <c r="D28"/>
      <c r="E28"/>
      <c r="F28"/>
    </row>
    <row r="29" spans="1:6" ht="18" x14ac:dyDescent="0.25">
      <c r="A29" s="14" t="s">
        <v>45</v>
      </c>
      <c r="B29" s="15">
        <v>1</v>
      </c>
      <c r="C29" s="15">
        <v>1</v>
      </c>
      <c r="D29"/>
      <c r="E29"/>
      <c r="F29"/>
    </row>
    <row r="30" spans="1:6" ht="18" x14ac:dyDescent="0.25">
      <c r="A30" s="14" t="s">
        <v>31</v>
      </c>
      <c r="B30" s="15">
        <v>4</v>
      </c>
      <c r="C30" s="15">
        <v>4</v>
      </c>
      <c r="D30"/>
      <c r="E30"/>
      <c r="F30"/>
    </row>
    <row r="31" spans="1:6" ht="18" x14ac:dyDescent="0.25">
      <c r="A31" s="14" t="s">
        <v>33</v>
      </c>
      <c r="B31" s="15">
        <v>5</v>
      </c>
      <c r="C31" s="15">
        <v>5</v>
      </c>
      <c r="D31"/>
      <c r="E31"/>
      <c r="F31"/>
    </row>
    <row r="32" spans="1:6" ht="18" x14ac:dyDescent="0.25">
      <c r="A32" s="14" t="s">
        <v>47</v>
      </c>
      <c r="B32" s="15">
        <v>1</v>
      </c>
      <c r="C32" s="15">
        <v>1</v>
      </c>
      <c r="D32"/>
      <c r="E32"/>
      <c r="F32"/>
    </row>
    <row r="33" spans="1:6" ht="18" x14ac:dyDescent="0.25">
      <c r="A33" s="16" t="s">
        <v>17</v>
      </c>
      <c r="B33" s="15">
        <v>1</v>
      </c>
      <c r="C33" s="15">
        <v>1</v>
      </c>
      <c r="D33"/>
      <c r="E33"/>
      <c r="F33"/>
    </row>
    <row r="34" spans="1:6" ht="18" x14ac:dyDescent="0.25">
      <c r="A34" s="4" t="s">
        <v>58</v>
      </c>
      <c r="B34" s="12">
        <v>84</v>
      </c>
      <c r="C34" s="12">
        <v>84</v>
      </c>
      <c r="D34"/>
      <c r="E34"/>
      <c r="F34"/>
    </row>
    <row r="35" spans="1:6" x14ac:dyDescent="0.25">
      <c r="A35"/>
      <c r="B35"/>
      <c r="C35"/>
      <c r="D35"/>
      <c r="E35"/>
      <c r="F35"/>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E3242-C2C7-4ACE-A05A-2C86F6DD2FED}">
  <dimension ref="A2:B15"/>
  <sheetViews>
    <sheetView workbookViewId="0">
      <selection activeCell="D2" sqref="D2"/>
    </sheetView>
  </sheetViews>
  <sheetFormatPr defaultRowHeight="15" x14ac:dyDescent="0.25"/>
  <cols>
    <col min="1" max="1" width="20.5703125" style="1" bestFit="1" customWidth="1"/>
    <col min="2" max="2" width="20.28515625" style="1" bestFit="1" customWidth="1"/>
    <col min="3" max="16384" width="9.140625" style="1"/>
  </cols>
  <sheetData>
    <row r="2" spans="1:2" ht="18" x14ac:dyDescent="0.25">
      <c r="A2" s="2" t="s">
        <v>53</v>
      </c>
      <c r="B2" s="3" t="s">
        <v>3</v>
      </c>
    </row>
    <row r="3" spans="1:2" ht="18" x14ac:dyDescent="0.25">
      <c r="A3" s="3"/>
      <c r="B3" s="3"/>
    </row>
    <row r="4" spans="1:2" ht="18" x14ac:dyDescent="0.25">
      <c r="A4" s="2" t="s">
        <v>57</v>
      </c>
      <c r="B4" s="3" t="s">
        <v>59</v>
      </c>
    </row>
    <row r="5" spans="1:2" ht="18" x14ac:dyDescent="0.25">
      <c r="A5" s="4" t="s">
        <v>30</v>
      </c>
      <c r="B5" s="3">
        <v>13</v>
      </c>
    </row>
    <row r="6" spans="1:2" ht="18" x14ac:dyDescent="0.25">
      <c r="A6" s="4" t="s">
        <v>23</v>
      </c>
      <c r="B6" s="3">
        <v>11</v>
      </c>
    </row>
    <row r="7" spans="1:2" ht="18" x14ac:dyDescent="0.25">
      <c r="A7" s="4" t="s">
        <v>9</v>
      </c>
      <c r="B7" s="3">
        <v>11</v>
      </c>
    </row>
    <row r="8" spans="1:2" ht="18" x14ac:dyDescent="0.25">
      <c r="A8" s="4" t="s">
        <v>27</v>
      </c>
      <c r="B8" s="3">
        <v>10</v>
      </c>
    </row>
    <row r="9" spans="1:2" ht="18" x14ac:dyDescent="0.25">
      <c r="A9" s="4" t="s">
        <v>11</v>
      </c>
      <c r="B9" s="3">
        <v>8</v>
      </c>
    </row>
    <row r="10" spans="1:2" ht="18" x14ac:dyDescent="0.25">
      <c r="A10" s="4" t="s">
        <v>5</v>
      </c>
      <c r="B10" s="3">
        <v>8</v>
      </c>
    </row>
    <row r="11" spans="1:2" ht="18" x14ac:dyDescent="0.25">
      <c r="A11" s="4" t="s">
        <v>16</v>
      </c>
      <c r="B11" s="3">
        <v>8</v>
      </c>
    </row>
    <row r="12" spans="1:2" ht="18" x14ac:dyDescent="0.25">
      <c r="A12" s="4" t="s">
        <v>13</v>
      </c>
      <c r="B12" s="3">
        <v>7</v>
      </c>
    </row>
    <row r="13" spans="1:2" ht="18" x14ac:dyDescent="0.25">
      <c r="A13" s="4" t="s">
        <v>1</v>
      </c>
      <c r="B13" s="3">
        <v>5</v>
      </c>
    </row>
    <row r="14" spans="1:2" ht="18" x14ac:dyDescent="0.25">
      <c r="A14" s="4" t="s">
        <v>43</v>
      </c>
      <c r="B14" s="3">
        <v>3</v>
      </c>
    </row>
    <row r="15" spans="1:2" ht="18" x14ac:dyDescent="0.25">
      <c r="A15" s="4" t="s">
        <v>58</v>
      </c>
      <c r="B15" s="3">
        <v>84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637EB-71D5-4807-9320-C3A098008AD8}">
  <dimension ref="A3:B11"/>
  <sheetViews>
    <sheetView workbookViewId="0">
      <selection activeCell="Q8" sqref="Q8"/>
    </sheetView>
  </sheetViews>
  <sheetFormatPr defaultRowHeight="15" x14ac:dyDescent="0.25"/>
  <cols>
    <col min="1" max="1" width="17.85546875" style="1" bestFit="1" customWidth="1"/>
    <col min="2" max="2" width="20.28515625" style="1" bestFit="1" customWidth="1"/>
    <col min="3" max="16384" width="9.140625" style="1"/>
  </cols>
  <sheetData>
    <row r="3" spans="1:2" ht="18" x14ac:dyDescent="0.25">
      <c r="A3" s="5" t="s">
        <v>53</v>
      </c>
      <c r="B3" s="6" t="s">
        <v>3</v>
      </c>
    </row>
    <row r="4" spans="1:2" ht="18" x14ac:dyDescent="0.25">
      <c r="A4" s="6"/>
      <c r="B4" s="6"/>
    </row>
    <row r="5" spans="1:2" ht="18" x14ac:dyDescent="0.25">
      <c r="A5" s="5" t="s">
        <v>57</v>
      </c>
      <c r="B5" s="6" t="s">
        <v>59</v>
      </c>
    </row>
    <row r="6" spans="1:2" ht="18" x14ac:dyDescent="0.25">
      <c r="A6" s="7" t="s">
        <v>24</v>
      </c>
      <c r="B6" s="6">
        <v>24</v>
      </c>
    </row>
    <row r="7" spans="1:2" ht="18" x14ac:dyDescent="0.25">
      <c r="A7" s="7" t="s">
        <v>6</v>
      </c>
      <c r="B7" s="6">
        <v>16</v>
      </c>
    </row>
    <row r="8" spans="1:2" ht="18" x14ac:dyDescent="0.25">
      <c r="A8" s="7" t="s">
        <v>2</v>
      </c>
      <c r="B8" s="6">
        <v>16</v>
      </c>
    </row>
    <row r="9" spans="1:2" ht="18" x14ac:dyDescent="0.25">
      <c r="A9" s="7" t="s">
        <v>14</v>
      </c>
      <c r="B9" s="6">
        <v>15</v>
      </c>
    </row>
    <row r="10" spans="1:2" ht="18" x14ac:dyDescent="0.25">
      <c r="A10" s="7" t="s">
        <v>28</v>
      </c>
      <c r="B10" s="6">
        <v>13</v>
      </c>
    </row>
    <row r="11" spans="1:2" ht="18" x14ac:dyDescent="0.25">
      <c r="A11" s="7" t="s">
        <v>58</v>
      </c>
      <c r="B11" s="6">
        <v>84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D914-1F60-425C-91D5-9683B2341A1D}">
  <dimension ref="A2:B12"/>
  <sheetViews>
    <sheetView workbookViewId="0">
      <selection activeCell="X14" sqref="X14"/>
    </sheetView>
  </sheetViews>
  <sheetFormatPr defaultRowHeight="15" x14ac:dyDescent="0.25"/>
  <cols>
    <col min="1" max="1" width="19.28515625" style="1" bestFit="1" customWidth="1"/>
    <col min="2" max="2" width="22.5703125" style="1" bestFit="1" customWidth="1"/>
    <col min="3" max="16384" width="9.140625" style="1"/>
  </cols>
  <sheetData>
    <row r="2" spans="1:2" ht="19.5" x14ac:dyDescent="0.25">
      <c r="A2" s="8" t="s">
        <v>53</v>
      </c>
      <c r="B2" s="9" t="s">
        <v>3</v>
      </c>
    </row>
    <row r="3" spans="1:2" ht="19.5" x14ac:dyDescent="0.25">
      <c r="A3" s="9"/>
      <c r="B3" s="9"/>
    </row>
    <row r="4" spans="1:2" ht="19.5" x14ac:dyDescent="0.25">
      <c r="A4" s="8" t="s">
        <v>57</v>
      </c>
      <c r="B4" s="9" t="s">
        <v>59</v>
      </c>
    </row>
    <row r="5" spans="1:2" ht="19.5" x14ac:dyDescent="0.25">
      <c r="A5" s="10" t="s">
        <v>63</v>
      </c>
      <c r="B5" s="9">
        <v>17</v>
      </c>
    </row>
    <row r="6" spans="1:2" ht="19.5" x14ac:dyDescent="0.25">
      <c r="A6" s="10" t="s">
        <v>67</v>
      </c>
      <c r="B6" s="9">
        <v>15</v>
      </c>
    </row>
    <row r="7" spans="1:2" ht="19.5" x14ac:dyDescent="0.25">
      <c r="A7" s="10" t="s">
        <v>64</v>
      </c>
      <c r="B7" s="9">
        <v>13</v>
      </c>
    </row>
    <row r="8" spans="1:2" ht="19.5" x14ac:dyDescent="0.25">
      <c r="A8" s="10" t="s">
        <v>61</v>
      </c>
      <c r="B8" s="9">
        <v>12</v>
      </c>
    </row>
    <row r="9" spans="1:2" ht="19.5" x14ac:dyDescent="0.25">
      <c r="A9" s="10" t="s">
        <v>62</v>
      </c>
      <c r="B9" s="9">
        <v>11</v>
      </c>
    </row>
    <row r="10" spans="1:2" ht="19.5" x14ac:dyDescent="0.25">
      <c r="A10" s="10" t="s">
        <v>66</v>
      </c>
      <c r="B10" s="9">
        <v>9</v>
      </c>
    </row>
    <row r="11" spans="1:2" ht="19.5" x14ac:dyDescent="0.25">
      <c r="A11" s="10" t="s">
        <v>65</v>
      </c>
      <c r="B11" s="9">
        <v>7</v>
      </c>
    </row>
    <row r="12" spans="1:2" ht="19.5" x14ac:dyDescent="0.25">
      <c r="A12" s="10" t="s">
        <v>58</v>
      </c>
      <c r="B12" s="9">
        <v>84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394B0-262D-48C7-A6F9-0B7B8FDE0072}">
  <dimension ref="A2:B10"/>
  <sheetViews>
    <sheetView workbookViewId="0">
      <selection activeCell="A2" sqref="A2:B10"/>
    </sheetView>
  </sheetViews>
  <sheetFormatPr defaultRowHeight="15" x14ac:dyDescent="0.25"/>
  <cols>
    <col min="1" max="1" width="19.28515625" style="1" bestFit="1" customWidth="1"/>
    <col min="2" max="2" width="22.140625" style="1" bestFit="1" customWidth="1"/>
    <col min="3" max="3" width="2.7109375" style="1" customWidth="1"/>
    <col min="4" max="16384" width="9.140625" style="1"/>
  </cols>
  <sheetData>
    <row r="2" spans="1:2" ht="19.5" x14ac:dyDescent="0.25">
      <c r="A2" s="8" t="s">
        <v>53</v>
      </c>
      <c r="B2" s="9" t="s">
        <v>3</v>
      </c>
    </row>
    <row r="3" spans="1:2" ht="19.5" x14ac:dyDescent="0.25">
      <c r="A3" s="9"/>
      <c r="B3" s="9"/>
    </row>
    <row r="4" spans="1:2" ht="19.5" x14ac:dyDescent="0.25">
      <c r="A4" s="8" t="s">
        <v>57</v>
      </c>
      <c r="B4" s="9" t="s">
        <v>68</v>
      </c>
    </row>
    <row r="5" spans="1:2" ht="19.5" x14ac:dyDescent="0.25">
      <c r="A5" s="10" t="s">
        <v>24</v>
      </c>
      <c r="B5" s="9">
        <v>24</v>
      </c>
    </row>
    <row r="6" spans="1:2" ht="19.5" x14ac:dyDescent="0.25">
      <c r="A6" s="10" t="s">
        <v>6</v>
      </c>
      <c r="B6" s="9">
        <v>16</v>
      </c>
    </row>
    <row r="7" spans="1:2" ht="19.5" x14ac:dyDescent="0.25">
      <c r="A7" s="10" t="s">
        <v>2</v>
      </c>
      <c r="B7" s="9">
        <v>16</v>
      </c>
    </row>
    <row r="8" spans="1:2" ht="19.5" x14ac:dyDescent="0.25">
      <c r="A8" s="10" t="s">
        <v>14</v>
      </c>
      <c r="B8" s="9">
        <v>15</v>
      </c>
    </row>
    <row r="9" spans="1:2" ht="19.5" x14ac:dyDescent="0.25">
      <c r="A9" s="10" t="s">
        <v>28</v>
      </c>
      <c r="B9" s="9">
        <v>13</v>
      </c>
    </row>
    <row r="10" spans="1:2" ht="19.5" x14ac:dyDescent="0.25">
      <c r="A10" s="10" t="s">
        <v>58</v>
      </c>
      <c r="B10" s="9">
        <v>84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C46DF-D9C6-4346-8D0E-4351E802EFA4}">
  <dimension ref="A1:Z2"/>
  <sheetViews>
    <sheetView tabSelected="1" topLeftCell="C1" workbookViewId="0">
      <selection activeCell="AA22" sqref="AA22"/>
    </sheetView>
  </sheetViews>
  <sheetFormatPr defaultRowHeight="15" x14ac:dyDescent="0.25"/>
  <cols>
    <col min="1" max="9" width="9.140625" style="1"/>
    <col min="10" max="10" width="6.140625" style="1" customWidth="1"/>
    <col min="11" max="16384" width="9.140625" style="1"/>
  </cols>
  <sheetData>
    <row r="1" spans="1:26" x14ac:dyDescent="0.25">
      <c r="A1" s="17" t="s">
        <v>69</v>
      </c>
      <c r="B1" s="18"/>
      <c r="C1" s="18"/>
      <c r="D1" s="18"/>
      <c r="E1" s="18"/>
      <c r="F1" s="18"/>
      <c r="G1" s="18"/>
      <c r="H1" s="18"/>
      <c r="I1" s="18"/>
      <c r="J1" s="18"/>
      <c r="K1" s="18"/>
      <c r="L1" s="18"/>
      <c r="M1" s="18"/>
      <c r="N1" s="18"/>
      <c r="O1" s="18"/>
      <c r="P1" s="18"/>
      <c r="Q1" s="18"/>
      <c r="R1" s="18"/>
      <c r="S1" s="18"/>
      <c r="T1" s="18"/>
      <c r="U1" s="18"/>
      <c r="V1" s="18"/>
      <c r="W1" s="18"/>
      <c r="X1" s="18"/>
      <c r="Y1" s="18"/>
      <c r="Z1" s="18"/>
    </row>
    <row r="2" spans="1:26" x14ac:dyDescent="0.25">
      <c r="A2" s="18"/>
      <c r="B2" s="18"/>
      <c r="C2" s="18"/>
      <c r="D2" s="18"/>
      <c r="E2" s="18"/>
      <c r="F2" s="18"/>
      <c r="G2" s="18"/>
      <c r="H2" s="18"/>
      <c r="I2" s="18"/>
      <c r="J2" s="18"/>
      <c r="K2" s="18"/>
      <c r="L2" s="18"/>
      <c r="M2" s="18"/>
      <c r="N2" s="18"/>
      <c r="O2" s="18"/>
      <c r="P2" s="18"/>
      <c r="Q2" s="18"/>
      <c r="R2" s="18"/>
      <c r="S2" s="18"/>
      <c r="T2" s="18"/>
      <c r="U2" s="18"/>
      <c r="V2" s="18"/>
      <c r="W2" s="18"/>
      <c r="X2" s="18"/>
      <c r="Y2" s="18"/>
      <c r="Z2" s="18"/>
    </row>
  </sheetData>
  <mergeCells count="1">
    <mergeCell ref="A1:Z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ATTENDANCE_DATA</vt:lpstr>
      <vt:lpstr>MONTHLY_TREND</vt:lpstr>
      <vt:lpstr>DAILY_ATTENDANCE</vt:lpstr>
      <vt:lpstr>PUNCTUAL_EMPLOYEES</vt:lpstr>
      <vt:lpstr>PUNCTUAL_DEPARTMENTS</vt:lpstr>
      <vt:lpstr>MOST_ABSENT_DAY</vt:lpstr>
      <vt:lpstr>DEPARTMENT_ABSENTEEISM</vt:lpstr>
      <vt:lpstr>EMPLOYEE ATTENDANCE TRACKER BOA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SANDHYA BALCHANDANI</dc:creator>
  <cp:lastModifiedBy>SANDHYA BALCHANDANI</cp:lastModifiedBy>
  <dcterms:created xsi:type="dcterms:W3CDTF">2026-05-21T08:45:17Z</dcterms:created>
  <dcterms:modified xsi:type="dcterms:W3CDTF">2026-05-28T08:01:36Z</dcterms:modified>
</cp:coreProperties>
</file>